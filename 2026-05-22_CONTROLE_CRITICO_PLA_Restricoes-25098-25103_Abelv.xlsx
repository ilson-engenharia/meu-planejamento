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Controle de Restrições ABELV" sheetId="1" state="visible" r:id="rId1"/>
  </sheets>
  <definedNames>
    <definedName name="_xlnm._FilterDatabase" localSheetId="0" hidden="1">'Controle de Restrições ABELV'!$A$2:$L$54</definedName>
  </definedNames>
  <calcPr calcId="191029" fullCalcOnLoad="1"/>
</workbook>
</file>

<file path=xl/styles.xml><?xml version="1.0" encoding="utf-8"?>
<styleSheet xmlns="http://schemas.openxmlformats.org/spreadsheetml/2006/main">
  <numFmts count="0"/>
  <fonts count="15">
    <font>
      <name val="Aptos Narrow"/>
      <family val="2"/>
      <color theme="1"/>
      <sz val="11"/>
      <scheme val="minor"/>
    </font>
    <font>
      <name val="Aptos Narrow"/>
      <family val="2"/>
      <color theme="1"/>
      <sz val="9"/>
      <scheme val="minor"/>
    </font>
    <font>
      <name val="Aptos Narrow"/>
      <family val="2"/>
      <b val="1"/>
      <color theme="0"/>
      <sz val="9"/>
      <scheme val="minor"/>
    </font>
    <font>
      <name val="Aptos Narrow"/>
      <family val="2"/>
      <b val="1"/>
      <color theme="0"/>
      <sz val="8"/>
      <scheme val="minor"/>
    </font>
    <font>
      <name val="Aptos Narrow"/>
      <family val="2"/>
      <sz val="9"/>
      <scheme val="minor"/>
    </font>
    <font>
      <name val="Calibri"/>
      <b val="1"/>
      <color rgb="00FFFFFF"/>
      <sz val="14"/>
    </font>
    <font>
      <name val="Calibri"/>
      <b val="1"/>
      <color rgb="00FFFFFF"/>
      <sz val="11"/>
    </font>
    <font>
      <name val="Calibri"/>
      <i val="1"/>
      <color rgb="00FFFFFF"/>
      <sz val="10"/>
    </font>
    <font>
      <name val="Calibri"/>
      <color rgb="001B2B4B"/>
      <sz val="10"/>
    </font>
    <font>
      <name val="Calibri"/>
      <b val="1"/>
      <color rgb="00FFFFFF"/>
      <sz val="10"/>
    </font>
    <font>
      <name val="Calibri"/>
      <sz val="10"/>
    </font>
    <font>
      <name val="Calibri"/>
      <b val="1"/>
      <color rgb="001E6B28"/>
    </font>
    <font>
      <name val="Calibri"/>
      <color rgb="001F4E79"/>
    </font>
    <font>
      <name val="Calibri"/>
      <b val="1"/>
      <color rgb="009C0006"/>
    </font>
    <font>
      <name val="Calibri"/>
      <b val="1"/>
      <color rgb="007B4000"/>
    </font>
  </fonts>
  <fills count="14">
    <fill>
      <patternFill/>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2060"/>
        <bgColor indexed="64"/>
      </patternFill>
    </fill>
    <fill>
      <patternFill patternType="solid">
        <fgColor theme="3" tint="0.8999908444471572"/>
        <bgColor indexed="64"/>
      </patternFill>
    </fill>
    <fill>
      <patternFill patternType="solid">
        <fgColor rgb="001B2B4B"/>
      </patternFill>
    </fill>
    <fill>
      <patternFill patternType="solid">
        <fgColor rgb="002B6CB0"/>
      </patternFill>
    </fill>
    <fill>
      <patternFill patternType="solid">
        <fgColor rgb="00F2F5FA"/>
      </patternFill>
    </fill>
    <fill>
      <patternFill patternType="solid">
        <fgColor rgb="00C6EFCE"/>
      </patternFill>
    </fill>
    <fill>
      <patternFill patternType="solid">
        <fgColor rgb="00FFFFFF"/>
      </patternFill>
    </fill>
    <fill>
      <patternFill patternType="solid">
        <fgColor rgb="00BDD7EE"/>
      </patternFill>
    </fill>
    <fill>
      <patternFill patternType="solid">
        <fgColor rgb="00FFC7CE"/>
      </patternFill>
    </fill>
    <fill>
      <patternFill patternType="solid">
        <fgColor rgb="00FFE0A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51">
    <xf numFmtId="0" fontId="0" fillId="0" borderId="0" pivotButton="0" quotePrefix="0" xfId="0"/>
    <xf numFmtId="0" fontId="1" fillId="2" borderId="0" pivotButton="0" quotePrefix="0" xfId="0"/>
    <xf numFmtId="0" fontId="2" fillId="3" borderId="0" applyAlignment="1" pivotButton="0" quotePrefix="0" xfId="0">
      <alignment horizontal="center" vertical="center"/>
    </xf>
    <xf numFmtId="0" fontId="2" fillId="3" borderId="0" pivotButton="0" quotePrefix="0" xfId="0"/>
    <xf numFmtId="0" fontId="2" fillId="4" borderId="0" applyAlignment="1" pivotButton="0" quotePrefix="0" xfId="0">
      <alignment horizontal="center" vertical="center"/>
    </xf>
    <xf numFmtId="0" fontId="1" fillId="2" borderId="1" applyAlignment="1" pivotButton="0" quotePrefix="0" xfId="0">
      <alignment horizontal="center" vertical="center"/>
    </xf>
    <xf numFmtId="14" fontId="1" fillId="2" borderId="1" applyAlignment="1" pivotButton="0" quotePrefix="0" xfId="0">
      <alignment horizontal="center" vertical="center"/>
    </xf>
    <xf numFmtId="0" fontId="1" fillId="2" borderId="1" applyAlignment="1" pivotButton="0" quotePrefix="0" xfId="0">
      <alignment horizontal="left" vertical="center" wrapText="1"/>
    </xf>
    <xf numFmtId="0" fontId="3" fillId="4" borderId="0" applyAlignment="1" pivotButton="0" quotePrefix="0" xfId="0">
      <alignment horizontal="center" vertical="center"/>
    </xf>
    <xf numFmtId="0" fontId="1" fillId="5" borderId="1" applyAlignment="1" pivotButton="0" quotePrefix="0" xfId="0">
      <alignment horizontal="center" vertical="center"/>
    </xf>
    <xf numFmtId="1" fontId="2" fillId="4" borderId="0" applyAlignment="1" pivotButton="0" quotePrefix="0" xfId="0">
      <alignment horizontal="center" vertical="center"/>
    </xf>
    <xf numFmtId="1" fontId="2" fillId="3" borderId="0" pivotButton="0" quotePrefix="0" xfId="0"/>
    <xf numFmtId="1" fontId="1" fillId="2" borderId="1" applyAlignment="1" pivotButton="0" quotePrefix="0" xfId="0">
      <alignment horizontal="center" vertical="center"/>
    </xf>
    <xf numFmtId="1" fontId="1" fillId="2" borderId="0" pivotButton="0" quotePrefix="0" xfId="0"/>
    <xf numFmtId="14" fontId="1" fillId="2" borderId="1" applyAlignment="1" pivotButton="0" quotePrefix="0" xfId="0">
      <alignment horizontal="left" vertical="center"/>
    </xf>
    <xf numFmtId="14" fontId="1" fillId="2" borderId="1" applyAlignment="1" pivotButton="0" quotePrefix="0" xfId="0">
      <alignment horizontal="center" vertical="center" wrapText="1"/>
    </xf>
    <xf numFmtId="14" fontId="1" fillId="2" borderId="1" applyAlignment="1" pivotButton="0" quotePrefix="0" xfId="0">
      <alignment horizontal="left" vertical="center" wrapText="1"/>
    </xf>
    <xf numFmtId="0" fontId="2" fillId="4" borderId="0" applyAlignment="1" pivotButton="0" quotePrefix="0" xfId="0">
      <alignment horizontal="center" vertical="center" wrapText="1"/>
    </xf>
    <xf numFmtId="0" fontId="2" fillId="3" borderId="0" applyAlignment="1" pivotButton="0" quotePrefix="0" xfId="0">
      <alignment horizontal="center" vertical="center" wrapText="1"/>
    </xf>
    <xf numFmtId="0" fontId="1" fillId="2" borderId="0" applyAlignment="1" pivotButton="0" quotePrefix="0" xfId="0">
      <alignment wrapText="1"/>
    </xf>
    <xf numFmtId="0" fontId="1" fillId="2" borderId="1" applyAlignment="1" pivotButton="0" quotePrefix="0" xfId="0">
      <alignment horizontal="center" vertical="center" wrapText="1"/>
    </xf>
    <xf numFmtId="0" fontId="1" fillId="2" borderId="0" applyAlignment="1" pivotButton="0" quotePrefix="0" xfId="0">
      <alignment horizontal="center" vertical="center"/>
    </xf>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6" borderId="0" applyAlignment="1" pivotButton="0" quotePrefix="0" xfId="0">
      <alignment horizontal="center" vertical="center"/>
    </xf>
    <xf numFmtId="0" fontId="6" fillId="7" borderId="0" applyAlignment="1" pivotButton="0" quotePrefix="0" xfId="0">
      <alignment horizontal="left" vertical="center"/>
    </xf>
    <xf numFmtId="0" fontId="7" fillId="7" borderId="0" applyAlignment="1" pivotButton="0" quotePrefix="0" xfId="0">
      <alignment horizontal="right" vertical="center"/>
    </xf>
    <xf numFmtId="0" fontId="8" fillId="8" borderId="0" applyAlignment="1" pivotButton="0" quotePrefix="0" xfId="0">
      <alignment horizontal="left" vertical="center"/>
    </xf>
    <xf numFmtId="0" fontId="9" fillId="6" borderId="2" applyAlignment="1" pivotButton="0" quotePrefix="0" xfId="0">
      <alignment horizontal="center" vertical="center" wrapText="1"/>
    </xf>
    <xf numFmtId="1" fontId="9" fillId="6" borderId="2" applyAlignment="1" pivotButton="0" quotePrefix="0" xfId="0">
      <alignment horizontal="center" vertical="center" wrapText="1"/>
    </xf>
    <xf numFmtId="0" fontId="2" fillId="3" borderId="2" applyAlignment="1" pivotButton="0" quotePrefix="0" xfId="0">
      <alignment horizontal="center" vertical="center"/>
    </xf>
    <xf numFmtId="0" fontId="2" fillId="3" borderId="2" applyAlignment="1" pivotButton="0" quotePrefix="0" xfId="0">
      <alignment horizontal="center" vertical="center" wrapText="1"/>
    </xf>
    <xf numFmtId="0" fontId="2" fillId="3" borderId="2" pivotButton="0" quotePrefix="0" xfId="0"/>
    <xf numFmtId="1" fontId="2" fillId="3" borderId="2" pivotButton="0" quotePrefix="0" xfId="0"/>
    <xf numFmtId="0" fontId="10" fillId="8" borderId="2" applyAlignment="1" pivotButton="0" quotePrefix="0" xfId="0">
      <alignment horizontal="left" vertical="center" wrapText="1"/>
    </xf>
    <xf numFmtId="14" fontId="10" fillId="8" borderId="2" applyAlignment="1" pivotButton="0" quotePrefix="0" xfId="0">
      <alignment horizontal="left" vertical="center" wrapText="1"/>
    </xf>
    <xf numFmtId="1" fontId="10" fillId="8" borderId="2" applyAlignment="1" pivotButton="0" quotePrefix="0" xfId="0">
      <alignment horizontal="left" vertical="center" wrapText="1"/>
    </xf>
    <xf numFmtId="14" fontId="11" fillId="9" borderId="2" applyAlignment="1" pivotButton="0" quotePrefix="0" xfId="0">
      <alignment horizontal="center" vertical="center"/>
    </xf>
    <xf numFmtId="0" fontId="10" fillId="10" borderId="2" applyAlignment="1" pivotButton="0" quotePrefix="0" xfId="0">
      <alignment horizontal="left" vertical="center" wrapText="1"/>
    </xf>
    <xf numFmtId="14" fontId="10" fillId="10" borderId="2" applyAlignment="1" pivotButton="0" quotePrefix="0" xfId="0">
      <alignment horizontal="left" vertical="center" wrapText="1"/>
    </xf>
    <xf numFmtId="1" fontId="10" fillId="10" borderId="2" applyAlignment="1" pivotButton="0" quotePrefix="0" xfId="0">
      <alignment horizontal="left" vertical="center" wrapText="1"/>
    </xf>
    <xf numFmtId="14" fontId="12" fillId="11" borderId="2" applyAlignment="1" pivotButton="0" quotePrefix="0" xfId="0">
      <alignment horizontal="center" vertical="center"/>
    </xf>
    <xf numFmtId="14" fontId="13" fillId="12" borderId="2" applyAlignment="1" pivotButton="0" quotePrefix="0" xfId="0">
      <alignment horizontal="center" vertical="center"/>
    </xf>
    <xf numFmtId="14" fontId="14" fillId="13" borderId="2" applyAlignment="1" pivotButton="0" quotePrefix="0" xfId="0">
      <alignment horizontal="center" vertical="center"/>
    </xf>
    <xf numFmtId="0" fontId="1" fillId="5" borderId="2" applyAlignment="1" pivotButton="0" quotePrefix="0" xfId="0">
      <alignment horizontal="center" vertical="center"/>
    </xf>
    <xf numFmtId="0" fontId="1" fillId="2" borderId="2" applyAlignment="1" pivotButton="0" quotePrefix="0" xfId="0">
      <alignment horizontal="center" vertical="center"/>
    </xf>
    <xf numFmtId="14" fontId="1" fillId="2" borderId="2" applyAlignment="1" pivotButton="0" quotePrefix="0" xfId="0">
      <alignment horizontal="center" vertical="center"/>
    </xf>
    <xf numFmtId="14" fontId="1" fillId="2" borderId="2" applyAlignment="1" pivotButton="0" quotePrefix="0" xfId="0">
      <alignment horizontal="center" vertical="center" wrapText="1"/>
    </xf>
    <xf numFmtId="0" fontId="1" fillId="2" borderId="2" applyAlignment="1" pivotButton="0" quotePrefix="0" xfId="0">
      <alignment horizontal="left" vertical="center" wrapText="1"/>
    </xf>
    <xf numFmtId="0" fontId="1" fillId="2" borderId="2" applyAlignment="1" pivotButton="0" quotePrefix="0" xfId="0">
      <alignment horizontal="center" vertical="center" wrapText="1"/>
    </xf>
    <xf numFmtId="1" fontId="1" fillId="2" borderId="2" applyAlignment="1" pivotButton="0" quotePrefix="0" xfId="0">
      <alignment horizontal="center" vertical="center"/>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57"/>
  <sheetViews>
    <sheetView tabSelected="1" workbookViewId="0">
      <pane ySplit="4" topLeftCell="A5" activePane="bottomLeft" state="frozen"/>
      <selection pane="bottomLeft" activeCell="K17" sqref="K17"/>
    </sheetView>
  </sheetViews>
  <sheetFormatPr baseColWidth="8" defaultRowHeight="12"/>
  <cols>
    <col width="6" customWidth="1" style="1" min="1" max="1"/>
    <col width="8" bestFit="1" customWidth="1" style="1" min="2" max="2"/>
    <col width="12" bestFit="1" customWidth="1" style="1" min="3" max="3"/>
    <col width="12" bestFit="1" customWidth="1" style="1" min="4" max="4"/>
    <col width="32" bestFit="1" customWidth="1" style="19" min="5" max="5"/>
    <col width="55" customWidth="1" style="1" min="6" max="7"/>
    <col width="55" customWidth="1" min="7" max="7"/>
    <col width="10" bestFit="1" customWidth="1" style="21" min="8" max="8"/>
    <col width="12" bestFit="1" customWidth="1" style="1" min="9" max="9"/>
    <col width="40" customWidth="1" style="1" min="10" max="10"/>
    <col width="14" bestFit="1" customWidth="1" style="1" min="11" max="11"/>
    <col width="14" bestFit="1" customWidth="1" style="13" min="12" max="12"/>
    <col width="14" customWidth="1" style="1" min="13" max="13"/>
    <col width="8.88671875" customWidth="1" style="1" min="14" max="16384"/>
  </cols>
  <sheetData>
    <row r="1" ht="28" customHeight="1">
      <c r="A1" s="24" t="inlineStr">
        <is>
          <t>PLANILHA DE RESTRIÇÕES ABELV — Cristália 25098 (Citostático) + 25103 (Farmoquímico)</t>
        </is>
      </c>
    </row>
    <row r="2" ht="22" customHeight="1">
      <c r="A2" s="25" t="inlineStr">
        <is>
          <t>Data de Status do Controle: 22/05/2026  |  Reunião de Bom Dia</t>
        </is>
      </c>
      <c r="I2" s="26" t="inlineStr">
        <is>
          <t>ABELV Engenharia  |  Projetos Cristália</t>
        </is>
      </c>
    </row>
    <row r="3" ht="18" customHeight="1">
      <c r="A3" s="27" t="inlineStr">
        <is>
          <t xml:space="preserve">  STATUS:   ✅ CONCLUÍDO   |   🔴 ATRASADO   |   ⚠️ ATENÇÃO   |   🔵 EM ABERTO</t>
        </is>
      </c>
    </row>
    <row r="4" ht="32" customHeight="1">
      <c r="A4" s="28" t="inlineStr">
        <is>
          <t>ITEM</t>
        </is>
      </c>
      <c r="B4" s="28" t="inlineStr">
        <is>
          <t>PROJETO</t>
        </is>
      </c>
      <c r="C4" s="28" t="inlineStr">
        <is>
          <t>ELABORAÇÃO</t>
        </is>
      </c>
      <c r="D4" s="28" t="inlineStr">
        <is>
          <t>EMPRESA RESP.</t>
        </is>
      </c>
      <c r="E4" s="28" t="inlineStr">
        <is>
          <t>REPONSÁVEL</t>
        </is>
      </c>
      <c r="F4" s="28" t="inlineStr">
        <is>
          <t>DESCRIÇÃO</t>
        </is>
      </c>
      <c r="G4" s="28" t="inlineStr">
        <is>
          <t>IMPACTO</t>
        </is>
      </c>
      <c r="H4" s="28" t="inlineStr">
        <is>
          <t>ID IMPACT</t>
        </is>
      </c>
      <c r="I4" s="28" t="inlineStr">
        <is>
          <t>NECESSIDADE</t>
        </is>
      </c>
      <c r="J4" s="28" t="inlineStr">
        <is>
          <t>OBSERVAÇÃO</t>
        </is>
      </c>
      <c r="K4" s="28" t="inlineStr">
        <is>
          <t>CONCLUSÃO REAL</t>
        </is>
      </c>
      <c r="L4" s="29" t="inlineStr">
        <is>
          <t>DIAS ATRASADO</t>
        </is>
      </c>
      <c r="M4" s="28" t="inlineStr">
        <is>
          <t>STATUS</t>
        </is>
      </c>
    </row>
    <row r="5" ht="36" customHeight="1">
      <c r="A5" s="30" t="n"/>
      <c r="B5" s="30" t="n"/>
      <c r="C5" s="30" t="n"/>
      <c r="D5" s="30" t="n"/>
      <c r="E5" s="31" t="n"/>
      <c r="F5" s="32" t="n"/>
      <c r="G5" s="32" t="n"/>
      <c r="H5" s="30" t="n"/>
      <c r="I5" s="32" t="n"/>
      <c r="J5" s="32" t="n"/>
      <c r="K5" s="32" t="n"/>
      <c r="L5" s="33" t="n"/>
      <c r="M5" s="32" t="n"/>
    </row>
    <row r="6">
      <c r="A6" s="34" t="n">
        <v>1</v>
      </c>
      <c r="B6" s="34" t="inlineStr">
        <is>
          <t>CISTO</t>
        </is>
      </c>
      <c r="C6" s="35" t="n">
        <v>46153</v>
      </c>
      <c r="D6" s="35" t="inlineStr">
        <is>
          <t>KROOM</t>
        </is>
      </c>
      <c r="E6" s="35" t="inlineStr">
        <is>
          <t>Diego (Gerente de Projetos da Kroom) / Leobino (Eng. Civil Abelv)</t>
        </is>
      </c>
      <c r="F6" s="34" t="inlineStr">
        <is>
          <t>Mobilização da Krrom para realização da Tarefa do Dique no Piso Técnico</t>
        </is>
      </c>
      <c r="G6" s="34" t="n"/>
      <c r="H6" s="34" t="n"/>
      <c r="I6" s="35" t="n">
        <v>46162</v>
      </c>
      <c r="J6" s="35" t="n"/>
      <c r="K6" s="35" t="n">
        <v>46153</v>
      </c>
      <c r="L6" s="36" t="n"/>
      <c r="M6" s="37" t="inlineStr">
        <is>
          <t>CONCLUÍDO</t>
        </is>
      </c>
    </row>
    <row r="7" ht="60" customHeight="1">
      <c r="A7" s="38">
        <f>IF(B4="","",1+A3)</f>
        <v/>
      </c>
      <c r="B7" s="38" t="inlineStr">
        <is>
          <t>CISTO</t>
        </is>
      </c>
      <c r="C7" s="39" t="n">
        <v>46150</v>
      </c>
      <c r="D7" s="39" t="inlineStr">
        <is>
          <t>KROOM</t>
        </is>
      </c>
      <c r="E7" s="39" t="inlineStr">
        <is>
          <t>Diego (Gerente de Projetos da Kroom) / Leobino (Eng. Civil Abelv)</t>
        </is>
      </c>
      <c r="F7" s="38" t="inlineStr">
        <is>
          <t>Recebimento de Materiais do Dique no Piso Técnico</t>
        </is>
      </c>
      <c r="G7" s="38" t="n"/>
      <c r="H7" s="38" t="n"/>
      <c r="I7" s="39" t="n">
        <v>46153</v>
      </c>
      <c r="J7" s="39" t="n"/>
      <c r="K7" s="39" t="n">
        <v>46153</v>
      </c>
      <c r="L7" s="40" t="n">
        <v>0</v>
      </c>
      <c r="M7" s="37" t="inlineStr">
        <is>
          <t>CONCLUÍDO</t>
        </is>
      </c>
    </row>
    <row r="8" ht="24" customHeight="1">
      <c r="A8" s="34">
        <f>IF(B5="","",1+A4)</f>
        <v/>
      </c>
      <c r="B8" s="34" t="inlineStr">
        <is>
          <t>CISTO</t>
        </is>
      </c>
      <c r="C8" s="35" t="n">
        <v>46150</v>
      </c>
      <c r="D8" s="35" t="inlineStr">
        <is>
          <t>CRISTÁLIA</t>
        </is>
      </c>
      <c r="E8" s="35" t="inlineStr">
        <is>
          <t>Edson (Cristália) / Leobino (Eng. Civil Abelv)</t>
        </is>
      </c>
      <c r="F8" s="34" t="inlineStr">
        <is>
          <t>Retirada de 2 Peças de Vidro da Sala Limpa, pois esta imepdindo a continidade da Marcação das Bases que serão construídas.</t>
        </is>
      </c>
      <c r="G8" s="34" t="inlineStr">
        <is>
          <t>Impedi a continuação da Locação da Bases que serão construídas na Sala Limpa.</t>
        </is>
      </c>
      <c r="H8" s="34" t="n"/>
      <c r="I8" s="35" t="n">
        <v>46161</v>
      </c>
      <c r="J8" s="35" t="n"/>
      <c r="K8" s="35" t="n"/>
      <c r="L8" s="36" t="n"/>
      <c r="M8" s="41" t="n"/>
    </row>
    <row r="9" ht="24" customHeight="1">
      <c r="A9" s="38">
        <f>IF(B6="","",1+A5)</f>
        <v/>
      </c>
      <c r="B9" s="38" t="inlineStr">
        <is>
          <t>CISTO</t>
        </is>
      </c>
      <c r="C9" s="39" t="n">
        <v>46147</v>
      </c>
      <c r="D9" s="39" t="inlineStr">
        <is>
          <t>ABELV</t>
        </is>
      </c>
      <c r="E9" s="39" t="inlineStr">
        <is>
          <t>Leobino (Eng. Civil Abelv)</t>
        </is>
      </c>
      <c r="F9" s="38" t="inlineStr">
        <is>
          <t>Chegada de Materiais para Fabricação da Tubulação do Trap</t>
        </is>
      </c>
      <c r="G9" s="38" t="n"/>
      <c r="H9" s="38" t="n"/>
      <c r="I9" s="39" t="n">
        <v>46149</v>
      </c>
      <c r="J9" s="39" t="inlineStr">
        <is>
          <t>19/05: Pedente a entrega dos materiais</t>
        </is>
      </c>
      <c r="K9" s="39" t="n"/>
      <c r="L9" s="40">
        <f>(TODAY())-I6</f>
        <v/>
      </c>
      <c r="M9" s="42">
        <f>IF(L6="","","ATRASADO")</f>
        <v/>
      </c>
    </row>
    <row r="10" ht="48" customHeight="1">
      <c r="A10" s="34">
        <f>IF(B7="","",1+A6)</f>
        <v/>
      </c>
      <c r="B10" s="34" t="inlineStr">
        <is>
          <t>CISTO</t>
        </is>
      </c>
      <c r="C10" s="35" t="n">
        <v>46156</v>
      </c>
      <c r="D10" s="35" t="inlineStr">
        <is>
          <t>CRISTÁLIA</t>
        </is>
      </c>
      <c r="E10" s="35" t="inlineStr">
        <is>
          <t>Edson (Cristália) / Leobino (Eng. Civil Abelv)</t>
        </is>
      </c>
      <c r="F10" s="34" t="inlineStr">
        <is>
          <t>Cobrar Definição da Cristália a respeito da Locação da Plataforma do Reatores em Função da Instalação da Nova Linha Hidrossanitária.</t>
        </is>
      </c>
      <c r="G10" s="34" t="inlineStr">
        <is>
          <t>Impacta o início do Corte do Piso para confecção da das bases da Plataforma do Reatores (Início Previsto: 21/05- Atividade do Cronograma: ID 22). E Demolição do Piso para Instalação da Rede Hidrossanitária (Início Previsto: 18/05 - Atividade do Cronograma: ID 58).</t>
        </is>
      </c>
      <c r="H10" s="34" t="n"/>
      <c r="I10" s="35" t="n">
        <v>46160</v>
      </c>
      <c r="J10" s="35" t="n"/>
      <c r="K10" s="35" t="n"/>
      <c r="L10" s="36" t="n"/>
      <c r="M10" s="42" t="inlineStr">
        <is>
          <t>ATRASADO</t>
        </is>
      </c>
    </row>
    <row r="11" ht="24" customHeight="1">
      <c r="A11" s="38">
        <f>IF(B8="","",1+A7)</f>
        <v/>
      </c>
      <c r="B11" s="38" t="inlineStr">
        <is>
          <t>CISTO</t>
        </is>
      </c>
      <c r="C11" s="39" t="n">
        <v>46154</v>
      </c>
      <c r="D11" s="39" t="inlineStr">
        <is>
          <t>ABELV</t>
        </is>
      </c>
      <c r="E11" s="39" t="inlineStr">
        <is>
          <t>Tiago (Gestor de Projetos Abelv)</t>
        </is>
      </c>
      <c r="F11" s="38" t="inlineStr">
        <is>
          <t>Acompanhamento / Recebimento das Conexões de Aço Carbono</t>
        </is>
      </c>
      <c r="G11" s="38" t="inlineStr">
        <is>
          <t>Impacta na Fabricação da Tubulação de Aço Carbono (Início Previsto: 25/05/26 -  Atividade do Cronograma: ID 54 e ID 317).</t>
        </is>
      </c>
      <c r="H11" s="38" t="n"/>
      <c r="I11" s="39" t="n">
        <v>46161</v>
      </c>
      <c r="J11" s="39" t="n"/>
      <c r="K11" s="39" t="n"/>
      <c r="L11" s="40" t="n"/>
      <c r="M11" s="43" t="inlineStr">
        <is>
          <t>ATENÇÃO</t>
        </is>
      </c>
    </row>
    <row r="12" ht="60" customHeight="1">
      <c r="A12" s="34">
        <f>IF(B9="","",1+A8)</f>
        <v/>
      </c>
      <c r="B12" s="34" t="inlineStr">
        <is>
          <t>CISTO</t>
        </is>
      </c>
      <c r="C12" s="35" t="n">
        <v>46154</v>
      </c>
      <c r="D12" s="35" t="inlineStr">
        <is>
          <t>ABELV</t>
        </is>
      </c>
      <c r="E12" s="35" t="inlineStr">
        <is>
          <t>Tiago (Gestor de Projetos Abelv)</t>
        </is>
      </c>
      <c r="F12" s="34" t="inlineStr">
        <is>
          <t>Acompanhamento / Recebimento da Tubulação de Aço Carbono</t>
        </is>
      </c>
      <c r="G12" s="34" t="inlineStr">
        <is>
          <t>Impacta na Fabricação da Tubulação de Aço Carbono (Início Previsto: 25/05/26 -  Atividade do Cronograma: ID 54 e ID 317).</t>
        </is>
      </c>
      <c r="H12" s="34" t="n"/>
      <c r="I12" s="35" t="n">
        <v>46157</v>
      </c>
      <c r="J12" s="35" t="n"/>
      <c r="K12" s="35" t="n">
        <v>46157</v>
      </c>
      <c r="L12" s="36" t="n"/>
      <c r="M12" s="37" t="inlineStr">
        <is>
          <t>CONCLUÍDO</t>
        </is>
      </c>
    </row>
    <row r="13" ht="24" customHeight="1">
      <c r="A13" s="38">
        <f>IF(B10="","",1+A9)</f>
        <v/>
      </c>
      <c r="B13" s="38" t="inlineStr">
        <is>
          <t>CISTO</t>
        </is>
      </c>
      <c r="C13" s="39" t="n">
        <v>46157</v>
      </c>
      <c r="D13" s="39" t="inlineStr">
        <is>
          <t>ABELV</t>
        </is>
      </c>
      <c r="E13" s="39" t="inlineStr">
        <is>
          <t>Uehara (Engenheiro Mecânico do HVAC Abelv)</t>
        </is>
      </c>
      <c r="F13" s="38" t="inlineStr">
        <is>
          <t xml:space="preserve">Validar a Mudança Dimensional da Base do Lavadaor de Gases </t>
        </is>
      </c>
      <c r="G13" s="38" t="inlineStr">
        <is>
          <t>Impacta no Inicio da Demolição da Piso do Radier do Lavador de Gases a Título de Área caso aconteça alguma mudança significativa. (Início Previsto: 25/05/26 - Atividade do Cronograma: ID 466).</t>
        </is>
      </c>
      <c r="H13" s="38" t="n"/>
      <c r="I13" s="39" t="n">
        <v>46162</v>
      </c>
      <c r="J13" s="39" t="n"/>
      <c r="K13" s="39" t="n"/>
      <c r="L13" s="40" t="n"/>
      <c r="M13" s="41" t="n"/>
    </row>
    <row r="14" ht="60" customHeight="1">
      <c r="A14" s="34">
        <f>IF(B11="","",1+A10)</f>
        <v/>
      </c>
      <c r="B14" s="34" t="inlineStr">
        <is>
          <t>CISTO</t>
        </is>
      </c>
      <c r="C14" s="35" t="n">
        <v>46154</v>
      </c>
      <c r="D14" s="35" t="inlineStr">
        <is>
          <t>ABELV</t>
        </is>
      </c>
      <c r="E14" s="35" t="inlineStr">
        <is>
          <t>Uehara (Engenheiro Mecânico do HVAC Abelv)</t>
        </is>
      </c>
      <c r="F14" s="34" t="inlineStr">
        <is>
          <t>Contratação Lavador de Gases</t>
        </is>
      </c>
      <c r="G14" s="34" t="n"/>
      <c r="H14" s="34" t="n"/>
      <c r="I14" s="35" t="n">
        <v>46157</v>
      </c>
      <c r="J14" s="35" t="inlineStr">
        <is>
          <t>19/05: Aguardando o Setor de Suprimentos da Abelv Fechar o Pedido.</t>
        </is>
      </c>
      <c r="K14" s="35" t="n"/>
      <c r="L14" s="36" t="n"/>
      <c r="M14" s="42" t="inlineStr">
        <is>
          <t>ATRASADO</t>
        </is>
      </c>
    </row>
    <row r="15" ht="24" customHeight="1">
      <c r="A15" s="38">
        <f>IF(B12="","",1+A11)</f>
        <v/>
      </c>
      <c r="B15" s="38" t="inlineStr">
        <is>
          <t>CISTO</t>
        </is>
      </c>
      <c r="C15" s="39" t="n">
        <v>46161</v>
      </c>
      <c r="D15" s="39" t="inlineStr">
        <is>
          <t>ABELV</t>
        </is>
      </c>
      <c r="E15" s="39" t="inlineStr">
        <is>
          <t>Ana Assis (Gerente do Suprimentos Abelv)</t>
        </is>
      </c>
      <c r="F15" s="38" t="inlineStr">
        <is>
          <t xml:space="preserve">Fechamento do Pedido de Compra do Lavador de Gases </t>
        </is>
      </c>
      <c r="G15" s="38" t="inlineStr">
        <is>
          <t>Impacta na identificação real do Dimensional da Base do Lavadaor de Gases, consequentemente também imapctando o Inicio da Demolição da Piso do Radier do Lavador de Gases a Título de Área caso aconteça alguma mudança significativa. (Início Previsto: 25/05/26 - Atividade do Cronograma: ID 466).</t>
        </is>
      </c>
      <c r="H15" s="38" t="n"/>
      <c r="I15" s="39" t="n">
        <v>46161</v>
      </c>
      <c r="J15" s="39" t="n"/>
      <c r="K15" s="39" t="n">
        <v>46162</v>
      </c>
      <c r="L15" s="40" t="n"/>
      <c r="M15" s="41" t="n"/>
    </row>
    <row r="16" ht="24" customHeight="1">
      <c r="A16" s="34">
        <f>IF(B13="","",1+A12)</f>
        <v/>
      </c>
      <c r="B16" s="34" t="inlineStr">
        <is>
          <t>FARMO</t>
        </is>
      </c>
      <c r="C16" s="35" t="n">
        <v>46154</v>
      </c>
      <c r="D16" s="35" t="inlineStr">
        <is>
          <t>KROOM</t>
        </is>
      </c>
      <c r="E16" s="35" t="inlineStr">
        <is>
          <t>Diego (Gerente de Projetos da Kroom) / Leobino (Eng. Civil Abelv)</t>
        </is>
      </c>
      <c r="F16" s="34" t="inlineStr">
        <is>
          <t>Definição do Tipo de  Fundação do Prédio</t>
        </is>
      </c>
      <c r="G16" s="34" t="inlineStr">
        <is>
          <t>Impacta no início da Fundação do Prédio (Início Previsto: 20/08/26 - Atividade do Cronograma: ID 431).</t>
        </is>
      </c>
      <c r="H16" s="34" t="n">
        <v>431</v>
      </c>
      <c r="I16" s="35" t="n">
        <v>46155</v>
      </c>
      <c r="J16" s="35" t="n"/>
      <c r="K16" s="35" t="n"/>
      <c r="L16" s="36" t="n"/>
      <c r="M16" s="42" t="inlineStr">
        <is>
          <t>ATRASADO</t>
        </is>
      </c>
    </row>
    <row r="17">
      <c r="A17" s="38">
        <f>IF(B14="","",1+A13)</f>
        <v/>
      </c>
      <c r="B17" s="38" t="inlineStr">
        <is>
          <t>FARMO</t>
        </is>
      </c>
      <c r="C17" s="39" t="n">
        <v>46154</v>
      </c>
      <c r="D17" s="39" t="inlineStr">
        <is>
          <t>CRISTÁLIA</t>
        </is>
      </c>
      <c r="E17" s="39" t="inlineStr">
        <is>
          <t>Edson (Cristália) / Leobino (Eng. Civil Abelv)</t>
        </is>
      </c>
      <c r="F17" s="38" t="inlineStr">
        <is>
          <t>Recebimento do Projeto da Base do Lavador de Gases Existente.</t>
        </is>
      </c>
      <c r="G17" s="38" t="inlineStr">
        <is>
          <t>Impacta na Formalização da Nova Locação que foi combinada IN LOCO para execução da base do Lavador existente. Inicio da Confecção da Nova Base (Radier) do Lavador de Gases Existente (Início Previsto: 05/06/26 - Atividade do Cronograma: ID 251).</t>
        </is>
      </c>
      <c r="H17" s="38" t="n"/>
      <c r="I17" s="39" t="n">
        <v>46157</v>
      </c>
      <c r="J17" s="39" t="n"/>
      <c r="K17" s="39" t="n"/>
      <c r="L17" s="40" t="n"/>
      <c r="M17" s="42" t="inlineStr">
        <is>
          <t>ATRASADO</t>
        </is>
      </c>
    </row>
    <row r="18" ht="48" customHeight="1">
      <c r="A18" s="34">
        <f>IF(B15="","",1+A14)</f>
        <v/>
      </c>
      <c r="B18" s="34" t="inlineStr">
        <is>
          <t>FARMO</t>
        </is>
      </c>
      <c r="C18" s="35" t="n">
        <v>46149</v>
      </c>
      <c r="D18" s="35" t="inlineStr">
        <is>
          <t>MGC</t>
        </is>
      </c>
      <c r="E18" s="35" t="inlineStr">
        <is>
          <t>Yohanna (Engenheiro Mecânica Abelv)</t>
        </is>
      </c>
      <c r="F18" s="34" t="inlineStr">
        <is>
          <t>Solicitação e Recebimento dos Projetos do Farmoquímico da Empresa MGC, e envio para Cristália para aprovação</t>
        </is>
      </c>
      <c r="G18" s="34" t="inlineStr">
        <is>
          <t>Impacta na Compra dos Materiais e Subscontratações para realização dos materiais.</t>
        </is>
      </c>
      <c r="H18" s="34" t="n"/>
      <c r="I18" s="35" t="n">
        <v>46161</v>
      </c>
      <c r="J18" s="35" t="n"/>
      <c r="K18" s="35" t="n">
        <v>46162</v>
      </c>
      <c r="L18" s="36" t="n"/>
      <c r="M18" s="41" t="n"/>
    </row>
    <row r="19" ht="60" customHeight="1">
      <c r="A19" s="38">
        <f>IF(B16="","",1+A15)</f>
        <v/>
      </c>
      <c r="B19" s="38" t="inlineStr">
        <is>
          <t>FARMO</t>
        </is>
      </c>
      <c r="C19" s="39" t="n">
        <v>46161</v>
      </c>
      <c r="D19" s="39" t="inlineStr">
        <is>
          <t>ABELV</t>
        </is>
      </c>
      <c r="E19" s="39" t="inlineStr">
        <is>
          <t>Leobino (Eng. Civil Abelv)</t>
        </is>
      </c>
      <c r="F19" s="38" t="inlineStr">
        <is>
          <t xml:space="preserve">Enviar para a MGC as cotas de elevação do Lovador de Gases </t>
        </is>
      </c>
      <c r="G19" s="38" t="inlineStr">
        <is>
          <t xml:space="preserve">Impacta na confecção do Projeto do Radier do Lavador de Gases </t>
        </is>
      </c>
      <c r="H19" s="38" t="n"/>
      <c r="I19" s="39" t="n">
        <v>46161</v>
      </c>
      <c r="J19" s="39" t="n"/>
      <c r="K19" s="39" t="n">
        <v>46163</v>
      </c>
      <c r="L19" s="40" t="n"/>
      <c r="M19" s="41" t="n"/>
    </row>
    <row r="20" ht="24" customHeight="1">
      <c r="A20" s="34">
        <f>IF(B17="","",1+A16)</f>
        <v/>
      </c>
      <c r="B20" s="34" t="inlineStr">
        <is>
          <t>FARMO</t>
        </is>
      </c>
      <c r="C20" s="35" t="n">
        <v>46161</v>
      </c>
      <c r="D20" s="35" t="inlineStr">
        <is>
          <t>ABELV</t>
        </is>
      </c>
      <c r="E20" s="35" t="inlineStr">
        <is>
          <t>Leobino (Eng. Civil Abelv)</t>
        </is>
      </c>
      <c r="F20" s="34" t="inlineStr">
        <is>
          <t>Enviar para a MGC as cotas de elevação da Sala Elétrica</t>
        </is>
      </c>
      <c r="G20" s="34" t="inlineStr">
        <is>
          <t>Impacta na confecção do Projeto da Sala Elétrica</t>
        </is>
      </c>
      <c r="H20" s="34" t="n"/>
      <c r="I20" s="35" t="n">
        <v>46162</v>
      </c>
      <c r="J20" s="35" t="n"/>
      <c r="K20" s="35" t="n"/>
      <c r="L20" s="36" t="n"/>
      <c r="M20" s="41" t="n"/>
    </row>
    <row r="21" ht="24" customHeight="1">
      <c r="A21" s="38">
        <f>IF(B18="","",1+A17)</f>
        <v/>
      </c>
      <c r="B21" s="38" t="inlineStr">
        <is>
          <t>FARMO</t>
        </is>
      </c>
      <c r="C21" s="39" t="n">
        <v>46161</v>
      </c>
      <c r="D21" s="39" t="inlineStr">
        <is>
          <t>KROOM</t>
        </is>
      </c>
      <c r="E21" s="39" t="inlineStr">
        <is>
          <t>Diego (Gerente de Projetos da Kroom) / Leobino (Eng. Civil Abelv)</t>
        </is>
      </c>
      <c r="F21" s="38" t="inlineStr">
        <is>
          <t>A Krrom precisa informa a Data do que irão apresentar o Tipo de Fundação que será aplicada no Farmoquímico.</t>
        </is>
      </c>
      <c r="G21" s="38" t="inlineStr">
        <is>
          <t>Impacta na Contratação da Empresa para realização da Estaca, por ventura impactando na compra de materiais da estaca (Início Previsto: 08/06 - Atividade do Cronograma: ID 118).</t>
        </is>
      </c>
      <c r="H21" s="38" t="n"/>
      <c r="I21" s="39" t="n">
        <v>46161</v>
      </c>
      <c r="J21" s="39" t="n"/>
      <c r="K21" s="39" t="n"/>
      <c r="L21" s="40" t="n"/>
      <c r="M21" s="41" t="n"/>
    </row>
    <row r="22" ht="24" customHeight="1">
      <c r="A22" s="34">
        <f>IF(B19="","",1+A18)</f>
        <v/>
      </c>
      <c r="B22" s="34" t="inlineStr">
        <is>
          <t>CISTO</t>
        </is>
      </c>
      <c r="C22" s="35" t="n">
        <v>46161</v>
      </c>
      <c r="D22" s="35" t="inlineStr">
        <is>
          <t>KROOM</t>
        </is>
      </c>
      <c r="E22" s="35" t="inlineStr">
        <is>
          <t>Diego (Gerente de Projetos da Kroom) / Leobino (Eng. Civil Abelv)</t>
        </is>
      </c>
      <c r="F22" s="34" t="inlineStr">
        <is>
          <t>A Krrom precisa apresentar a Metodologia de Corte que será aplicado para avaliar a resistencia do piso onde poderá ser contruido a base da Plataforma dos Reatores, em função da Interferência da Instalação da Nova Rede Hidrossanitária.</t>
        </is>
      </c>
      <c r="G22" s="34" t="inlineStr">
        <is>
          <t>Impacta o início do Corte do Piso para confecção da das bases da Plataforma do Reatores (Início Previsto: 21/05- Atividade do Cronograma: ID 22). E Demolição do Piso para Instalação da Rede Hidrossanitária (Início Previsto: 18/05 - Atividade do Cronograma: ID 58).</t>
        </is>
      </c>
      <c r="H22" s="34" t="n"/>
      <c r="I22" s="35" t="n">
        <v>46162</v>
      </c>
      <c r="J22" s="35" t="inlineStr">
        <is>
          <t>20/05: A Krrom apresentou a alterantiva de realização de um Ensaio Não Destrutivo de Esclerometria, pois seria mais rápido o metódo de avaliação da Resistência Mecânica.</t>
        </is>
      </c>
      <c r="K22" s="35" t="n">
        <v>46162</v>
      </c>
      <c r="L22" s="36" t="n"/>
      <c r="M22" s="41" t="n"/>
    </row>
    <row r="23" ht="24" customHeight="1">
      <c r="A23" s="38">
        <f>IF(B20="","",1+A19)</f>
        <v/>
      </c>
      <c r="B23" s="38" t="inlineStr">
        <is>
          <t>FARMO</t>
        </is>
      </c>
      <c r="C23" s="39" t="n">
        <v>46161</v>
      </c>
      <c r="D23" s="39" t="inlineStr">
        <is>
          <t>KROOM</t>
        </is>
      </c>
      <c r="E23" s="39" t="inlineStr">
        <is>
          <t>Diego (Gerente de Projetos da Kroom) / Leobino (Eng. Civil Abelv)</t>
        </is>
      </c>
      <c r="F23" s="38" t="inlineStr">
        <is>
          <t>Elaboração do Pedido da Tubulação de Água Pluvial</t>
        </is>
      </c>
      <c r="G23" s="38" t="inlineStr">
        <is>
          <t>Impacta a Compra da Tubulação de Água Pluvial</t>
        </is>
      </c>
      <c r="H23" s="38" t="n"/>
      <c r="I23" s="39" t="n">
        <v>46169</v>
      </c>
      <c r="J23" s="39" t="n"/>
      <c r="K23" s="39" t="n"/>
      <c r="L23" s="40" t="n"/>
      <c r="M23" s="41" t="n"/>
    </row>
    <row r="24" ht="48" customHeight="1">
      <c r="A24" s="34">
        <f>IF(B21="","",1+A20)</f>
        <v/>
      </c>
      <c r="B24" s="34" t="inlineStr">
        <is>
          <t>FARMO</t>
        </is>
      </c>
      <c r="C24" s="35" t="n">
        <v>46161</v>
      </c>
      <c r="D24" s="35" t="inlineStr">
        <is>
          <t>KROOM</t>
        </is>
      </c>
      <c r="E24" s="35" t="inlineStr">
        <is>
          <t>Rodrigo (Téc. Planej. da Kroom) / Leobino (Eng. Civil Abelv)</t>
        </is>
      </c>
      <c r="F24" s="34" t="inlineStr">
        <is>
          <t>A Kroom precisa enviar os Pedidos de Faturamento Direto</t>
        </is>
      </c>
      <c r="G24" s="34" t="inlineStr">
        <is>
          <t>Imapcto na Medição</t>
        </is>
      </c>
      <c r="H24" s="34" t="n"/>
      <c r="I24" s="35" t="n">
        <v>46161</v>
      </c>
      <c r="J24" s="35" t="n"/>
      <c r="K24" s="35" t="n">
        <v>46161</v>
      </c>
      <c r="L24" s="36" t="n"/>
      <c r="M24" s="41" t="n"/>
    </row>
    <row r="25" ht="36" customHeight="1">
      <c r="A25" s="38">
        <f>IF(B22="","",1+A21)</f>
        <v/>
      </c>
      <c r="B25" s="38" t="inlineStr">
        <is>
          <t>CISTO</t>
        </is>
      </c>
      <c r="C25" s="39" t="n">
        <v>46161</v>
      </c>
      <c r="D25" s="39" t="inlineStr">
        <is>
          <t>KROOM</t>
        </is>
      </c>
      <c r="E25" s="39" t="inlineStr">
        <is>
          <t>Tiago (Gestor de Projetos Abelv) / Celso (Gestor de Projetos Abelv)</t>
        </is>
      </c>
      <c r="F25" s="38" t="inlineStr">
        <is>
          <t>Verificação do Efetivo de Andaime para atendimento das Obras (Farmoquímico e Citostático).</t>
        </is>
      </c>
      <c r="G25" s="38" t="inlineStr">
        <is>
          <t>Impacto de acesso para realização das Frentes de Montagem</t>
        </is>
      </c>
      <c r="H25" s="38" t="n"/>
      <c r="I25" s="39" t="n">
        <v>46162</v>
      </c>
      <c r="J25" s="39" t="n"/>
      <c r="K25" s="39" t="n">
        <v>46162</v>
      </c>
      <c r="L25" s="40" t="n"/>
      <c r="M25" s="41" t="n"/>
    </row>
    <row r="26" ht="36" customHeight="1">
      <c r="A26" s="34">
        <f>IF(B23="","",1+A22)</f>
        <v/>
      </c>
      <c r="B26" s="34" t="inlineStr">
        <is>
          <t>CISTO</t>
        </is>
      </c>
      <c r="C26" s="35" t="n">
        <v>46161</v>
      </c>
      <c r="D26" s="35" t="inlineStr">
        <is>
          <t>ABELV</t>
        </is>
      </c>
      <c r="E26" s="35" t="inlineStr">
        <is>
          <t>Leobino (Eng. Civil Abelv)</t>
        </is>
      </c>
      <c r="F26" s="34" t="inlineStr">
        <is>
          <t>Montagem do Pipe-Shop de Aço Carbono no Canteiro de Obra Abelv.</t>
        </is>
      </c>
      <c r="G26" s="34" t="inlineStr">
        <is>
          <t>Impacta na Fabricação da Tubulação de Aço Carbono (Início Previsto: 25/05/26 -  Atividade do Cronograma: ID 54 e ID 317).</t>
        </is>
      </c>
      <c r="H26" s="34" t="n"/>
      <c r="I26" s="35" t="n">
        <v>46162</v>
      </c>
      <c r="J26" s="35" t="n"/>
      <c r="K26" s="35" t="n">
        <v>46162</v>
      </c>
      <c r="L26" s="36" t="n"/>
      <c r="M26" s="41" t="n"/>
    </row>
    <row r="27" ht="48" customHeight="1">
      <c r="A27" s="38">
        <f>IF(B24="","",1+A23)</f>
        <v/>
      </c>
      <c r="B27" s="38" t="inlineStr">
        <is>
          <t>CISTO</t>
        </is>
      </c>
      <c r="C27" s="39" t="n">
        <v>46161</v>
      </c>
      <c r="D27" s="39" t="inlineStr">
        <is>
          <t>ABELV</t>
        </is>
      </c>
      <c r="E27" s="39" t="inlineStr">
        <is>
          <t>EriK Massola (Comprador Abelv) / Tiago Tiago (Gestor de Projetos Abelv)</t>
        </is>
      </c>
      <c r="F27" s="38" t="inlineStr">
        <is>
          <t>O Setor de Compras precisa enviar o Efetivo (Nomes e Cpfs dos colaboradores) da empresa contratada Açoplast (Estrutura Metálica) para Tiago Matos, para posterior envio para Cristália realizar a avaliação social dos mesmos.</t>
        </is>
      </c>
      <c r="G27" s="38" t="inlineStr">
        <is>
          <t>Impacto: Caso os mesmos não forem aprovados, eles não poderão adentrar ao site, podendo impactar o prazo da obra.</t>
        </is>
      </c>
      <c r="H27" s="38" t="n"/>
      <c r="I27" s="39" t="n">
        <v>46162</v>
      </c>
      <c r="J27" s="39" t="n"/>
      <c r="K27" s="39" t="n"/>
      <c r="L27" s="40" t="n"/>
      <c r="M27" s="41" t="n"/>
    </row>
    <row r="28" ht="36" customHeight="1">
      <c r="A28" s="34">
        <f>IF(B25="","",1+A24)</f>
        <v/>
      </c>
      <c r="B28" s="34" t="inlineStr">
        <is>
          <t>CISTO</t>
        </is>
      </c>
      <c r="C28" s="35" t="n">
        <v>46161</v>
      </c>
      <c r="D28" s="35" t="inlineStr">
        <is>
          <t>ABELV</t>
        </is>
      </c>
      <c r="E28" s="35" t="inlineStr">
        <is>
          <t>Edimar Cunha (Supervisor de Suprimentos Abelv) / Tiago Tiago (Gestor de Projetos Abelv)</t>
        </is>
      </c>
      <c r="F28" s="34" t="inlineStr">
        <is>
          <t>Contratação do Fornecedor de Andaime.</t>
        </is>
      </c>
      <c r="G28" s="34" t="inlineStr">
        <is>
          <t>Impacto de acesso para realização das Frentes de Montagem</t>
        </is>
      </c>
      <c r="H28" s="34" t="n"/>
      <c r="I28" s="35" t="n">
        <v>46164</v>
      </c>
      <c r="J28" s="35" t="n"/>
      <c r="K28" s="35" t="n"/>
      <c r="L28" s="36" t="n"/>
      <c r="M28" s="41" t="n"/>
    </row>
    <row r="29" ht="48" customHeight="1">
      <c r="A29" s="38">
        <f>IF(B26="","",1+A25)</f>
        <v/>
      </c>
      <c r="B29" s="38" t="inlineStr">
        <is>
          <t>FARMO</t>
        </is>
      </c>
      <c r="C29" s="39" t="n">
        <v>46161</v>
      </c>
      <c r="D29" s="39" t="inlineStr">
        <is>
          <t>ABELV</t>
        </is>
      </c>
      <c r="E29" s="39" t="inlineStr">
        <is>
          <t>Diego (Gerente de Projetos da Kroom) / Leobino (Eng. Civil Abelv)</t>
        </is>
      </c>
      <c r="F29" s="38" t="inlineStr">
        <is>
          <t>A empresa Krrom precisa Regularizar a Documentação da Empresa Recicla (Bota Fora).</t>
        </is>
      </c>
      <c r="G29" s="38" t="inlineStr">
        <is>
          <t>Impacto: Caso aconteça alguma aditoria ou acidente, estamos descobertos por documentação legal de subcontratação.</t>
        </is>
      </c>
      <c r="H29" s="38" t="n"/>
      <c r="I29" s="39" t="n">
        <v>46163</v>
      </c>
      <c r="J29" s="39" t="n"/>
      <c r="K29" s="39" t="n"/>
      <c r="L29" s="40" t="n"/>
      <c r="M29" s="41" t="n"/>
    </row>
    <row r="30" ht="24" customHeight="1">
      <c r="A30" s="34">
        <f>IF(B27="","",1+A26)</f>
        <v/>
      </c>
      <c r="B30" s="34" t="inlineStr">
        <is>
          <t>CISTO</t>
        </is>
      </c>
      <c r="C30" s="35" t="n">
        <v>46161</v>
      </c>
      <c r="D30" s="35" t="inlineStr">
        <is>
          <t>ABELV</t>
        </is>
      </c>
      <c r="E30" s="35" t="inlineStr">
        <is>
          <t>Yohanna (Engenheiro Mecânica Abelv)</t>
        </is>
      </c>
      <c r="F30" s="34" t="inlineStr">
        <is>
          <t>Verificação da readequação do Projeto da Plataforma dos Reatores por base do nosso fornecedor que vai fabricar, pois os reatores adquiridos pela Cristália não cabe no mesmo.</t>
        </is>
      </c>
      <c r="G30" s="34" t="inlineStr">
        <is>
          <t>Impacto: Atraso na Fabricação do Projeto da Plataforma do Reatores, por necessidade de elaboração do Novo Projeto para readequação do novo lay-out (Início e Térmico Previsto: 14/05/26 e 13/07/26 -  Atividade do Cronograma: ID 650).</t>
        </is>
      </c>
      <c r="H30" s="34" t="n">
        <v>650</v>
      </c>
      <c r="I30" s="35" t="n">
        <v>46162</v>
      </c>
      <c r="J30" s="35" t="n"/>
      <c r="K30" s="35" t="n"/>
      <c r="L30" s="36" t="n"/>
      <c r="M30" s="41" t="n"/>
    </row>
    <row r="31" ht="24" customHeight="1">
      <c r="A31" s="38">
        <f>IF(B28="","",1+A27)</f>
        <v/>
      </c>
      <c r="B31" s="38" t="inlineStr">
        <is>
          <t>CISTO</t>
        </is>
      </c>
      <c r="C31" s="39" t="n">
        <v>46161</v>
      </c>
      <c r="D31" s="39" t="inlineStr">
        <is>
          <t>CRISTÁLIA</t>
        </is>
      </c>
      <c r="E31" s="39" t="inlineStr">
        <is>
          <t>Yohanna (Engenheiro Mecânica Abelv)</t>
        </is>
      </c>
      <c r="F31" s="38" t="inlineStr">
        <is>
          <t>O Filtro Secador adquiro pela Cristália não cabe na base do Projeto Fornecido, logo a Cristália ficou de elaborar um Novo Projeto da Base do Filtro Secador para essa nova realidade.</t>
        </is>
      </c>
      <c r="G31" s="38" t="inlineStr">
        <is>
          <t>Impacto: Atraso na Construção da Nova Base do Filtro Secador  (Início Previsto: 20/05/26 -  Atividade do Cronograma: ID 9).</t>
        </is>
      </c>
      <c r="H31" s="38" t="n">
        <v>9</v>
      </c>
      <c r="I31" s="39" t="n">
        <v>46162</v>
      </c>
      <c r="J31" s="39" t="n"/>
      <c r="K31" s="39" t="n"/>
      <c r="L31" s="40" t="n"/>
      <c r="M31" s="41" t="n"/>
    </row>
    <row r="32" ht="36" customHeight="1">
      <c r="A32" s="34">
        <f>IF(B29="","",1+A28)</f>
        <v/>
      </c>
      <c r="B32" s="34" t="inlineStr">
        <is>
          <t>CISTO</t>
        </is>
      </c>
      <c r="C32" s="35" t="n">
        <v>46161</v>
      </c>
      <c r="D32" s="35" t="inlineStr">
        <is>
          <t>CRISTÁLIA</t>
        </is>
      </c>
      <c r="E32" s="35" t="inlineStr">
        <is>
          <t>Yohanna (Engenheiro Mecânica Abelv)</t>
        </is>
      </c>
      <c r="F32" s="34" t="inlineStr">
        <is>
          <t>A Cristália tem que apresentar o Projeto da Nova Locaçao do Ralo do Sistema Hidrossanitário, pois o Projeto Atual da Base da Plataforma do Reatores estão na mesma cooredenada do Ralos.</t>
        </is>
      </c>
      <c r="G32" s="34" t="inlineStr">
        <is>
          <t>Impacto: Atraso na Conclusão do Corte do Piso para Novo Sistema Hidrossanitário.  (Término Previsto: 18/05/26 -  Atividade do Cronograma: ID 59).</t>
        </is>
      </c>
      <c r="H32" s="34" t="n">
        <v>59</v>
      </c>
      <c r="I32" s="35" t="n">
        <v>46162</v>
      </c>
      <c r="J32" s="35" t="n"/>
      <c r="K32" s="35" t="n"/>
      <c r="L32" s="36" t="n"/>
      <c r="M32" s="41" t="n"/>
    </row>
    <row r="33" ht="24" customHeight="1">
      <c r="A33" s="38">
        <f>IF(B30="","",1+A29)</f>
        <v/>
      </c>
      <c r="B33" s="38" t="inlineStr">
        <is>
          <t>CISTO</t>
        </is>
      </c>
      <c r="C33" s="39" t="n">
        <v>46162</v>
      </c>
      <c r="D33" s="39" t="inlineStr">
        <is>
          <t>CRISTÁLIA</t>
        </is>
      </c>
      <c r="E33" s="39" t="inlineStr">
        <is>
          <t>Leobino (Eng. Civil Abelv)</t>
        </is>
      </c>
      <c r="F33" s="38" t="inlineStr">
        <is>
          <t>Confirmação do Cliente da Aplicação de Tinta Asfaltica nos Dique do Piso Técnico, conforme orientado no Projeto.</t>
        </is>
      </c>
      <c r="G33" s="38" t="n"/>
      <c r="H33" s="38" t="n"/>
      <c r="I33" s="39" t="n">
        <v>46162</v>
      </c>
      <c r="J33" s="39" t="inlineStr">
        <is>
          <t>20/05: Sr. Edson da Cristália na Reunião de Planejamento no Canteiro, orientou continuarmos segundo o Projeto.</t>
        </is>
      </c>
      <c r="K33" s="39" t="n">
        <v>46162</v>
      </c>
      <c r="L33" s="40" t="n"/>
      <c r="M33" s="41" t="n"/>
    </row>
    <row r="34" ht="36" customHeight="1">
      <c r="A34" s="34">
        <f>IF(B31="","",1+A30)</f>
        <v/>
      </c>
      <c r="B34" s="34" t="inlineStr">
        <is>
          <t>CISTO</t>
        </is>
      </c>
      <c r="C34" s="35">
        <f>C30</f>
        <v/>
      </c>
      <c r="D34" s="35" t="inlineStr">
        <is>
          <t>ABELV</t>
        </is>
      </c>
      <c r="E34" s="35" t="inlineStr">
        <is>
          <t>Ilson (Planejador Abelv) / Victor (Planejador Abelv)</t>
        </is>
      </c>
      <c r="F34" s="34" t="inlineStr">
        <is>
          <t>Elaboração do Estudo de HH aplicado até a data 19/05/26, conforme solicitado em reunião.</t>
        </is>
      </c>
      <c r="G34" s="34" t="n"/>
      <c r="H34" s="34" t="n"/>
      <c r="I34" s="35" t="n">
        <v>46167</v>
      </c>
      <c r="J34" s="35" t="n"/>
      <c r="K34" s="35" t="n"/>
      <c r="L34" s="36" t="n"/>
      <c r="M34" s="41" t="n"/>
    </row>
    <row r="35" ht="48" customHeight="1">
      <c r="A35" s="38">
        <f>IF(B32="","",1+A31)</f>
        <v/>
      </c>
      <c r="B35" s="38" t="inlineStr">
        <is>
          <t>CISTO</t>
        </is>
      </c>
      <c r="C35" s="39" t="n">
        <v>46162</v>
      </c>
      <c r="D35" s="39" t="inlineStr">
        <is>
          <t>KROOM</t>
        </is>
      </c>
      <c r="E35" s="39" t="inlineStr">
        <is>
          <t>Diego (Gerente de Projetos da Kroom) / Leobino (Eng. Civil Abelv)</t>
        </is>
      </c>
      <c r="F35" s="38" t="inlineStr">
        <is>
          <t>Compra ou Projeção de Compra do Pluviômetro, com objetivo de medir a quantidade de chuva (precipitação) na Obra, e registrar os impactos das atividades.</t>
        </is>
      </c>
      <c r="G35" s="38" t="inlineStr">
        <is>
          <t>Impacto: Registro de Comprovação de Impactos de Chuvas a nivel de RDO.</t>
        </is>
      </c>
      <c r="H35" s="38" t="n"/>
      <c r="I35" s="39" t="n">
        <v>46162</v>
      </c>
      <c r="J35" s="39" t="n"/>
      <c r="K35" s="39" t="n"/>
      <c r="L35" s="40" t="n"/>
      <c r="M35" s="41" t="n"/>
    </row>
    <row r="36" ht="36" customHeight="1">
      <c r="A36" s="34">
        <f>IF(B33="","",1+A32)</f>
        <v/>
      </c>
      <c r="B36" s="34" t="inlineStr">
        <is>
          <t>CISTO</t>
        </is>
      </c>
      <c r="C36" s="35" t="n">
        <v>46163</v>
      </c>
      <c r="D36" s="35" t="inlineStr">
        <is>
          <t>ABELV</t>
        </is>
      </c>
      <c r="E36" s="35" t="inlineStr">
        <is>
          <t>Celso (Gestor de Projetos Abelv)</t>
        </is>
      </c>
      <c r="F36" s="34" t="inlineStr">
        <is>
          <t>Emissão de Solicitação de Compra (SC) para Fabricação da Linha do Dreno do TRAP</t>
        </is>
      </c>
      <c r="G36" s="34" t="inlineStr">
        <is>
          <t>Impacto; Fabricação da Linha do Trap (Início Previsto: 25/05 - Atividade do Cronograma: ID 169).</t>
        </is>
      </c>
      <c r="H36" s="34" t="n">
        <v>169</v>
      </c>
      <c r="I36" s="35" t="n">
        <v>46163</v>
      </c>
      <c r="J36" s="35" t="n"/>
      <c r="K36" s="35" t="n"/>
      <c r="L36" s="36" t="n"/>
      <c r="M36" s="41" t="n"/>
    </row>
    <row r="37" ht="48" customHeight="1">
      <c r="A37" s="38">
        <f>IF(B34="","",1+A33)</f>
        <v/>
      </c>
      <c r="B37" s="38" t="inlineStr">
        <is>
          <t>CISTO</t>
        </is>
      </c>
      <c r="C37" s="39" t="n">
        <v>46163</v>
      </c>
      <c r="D37" s="39" t="inlineStr">
        <is>
          <t>ABELV</t>
        </is>
      </c>
      <c r="E37" s="39" t="inlineStr">
        <is>
          <t>Leobino (Eng. Civil Abelv)</t>
        </is>
      </c>
      <c r="F37" s="38" t="inlineStr">
        <is>
          <t>Elaboração de CT (Consulta Técnica) a respeito da Aplicação da Tinta Asfáltica que segundo o Projeto esta orientando aplicar nos Diques do Pavimento Técnico.</t>
        </is>
      </c>
      <c r="G37" s="38" t="inlineStr">
        <is>
          <t>Impacto: Pintura Asfaltica nos Diques do Primeiro Pavimento (Início Previsto: 02/06 - Atividade do Cronograma: ID 279).</t>
        </is>
      </c>
      <c r="H37" s="38" t="n">
        <v>279</v>
      </c>
      <c r="I37" s="39" t="n">
        <v>46163</v>
      </c>
      <c r="J37" s="39" t="n"/>
      <c r="K37" s="39" t="n"/>
      <c r="L37" s="40" t="n"/>
      <c r="M37" s="41" t="n"/>
    </row>
    <row r="38">
      <c r="A38" s="34">
        <f>IF(B35="","",1+A34)</f>
        <v/>
      </c>
      <c r="B38" s="34" t="inlineStr">
        <is>
          <t>CISTO</t>
        </is>
      </c>
      <c r="C38" s="35" t="n">
        <v>46163</v>
      </c>
      <c r="D38" s="35" t="inlineStr">
        <is>
          <t>ABELV</t>
        </is>
      </c>
      <c r="E38" s="35" t="inlineStr">
        <is>
          <t>Leobino (Eng. Civil Abelv)</t>
        </is>
      </c>
      <c r="F38" s="34" t="inlineStr">
        <is>
          <t>Solicitação de Visita Técnica e envio de documentação dos Colaboradores da empresa GEOCOM (Empresa de Ensaio de Esclerometria).</t>
        </is>
      </c>
      <c r="G38" s="34" t="inlineStr">
        <is>
          <t xml:space="preserve">Impacto: Atraso do início da confecção da base dos reatores, atividade que estava prevista para o dia 21/05/26 (ID: 22), em virtude do Projeto Fornecido pela Cristália, a base da Plataforma do Reator está locado no Local do Ralo. </t>
        </is>
      </c>
      <c r="H38" s="34" t="n">
        <v>22</v>
      </c>
      <c r="I38" s="35" t="n">
        <v>46163</v>
      </c>
      <c r="J38" s="35" t="n"/>
      <c r="K38" s="35" t="n"/>
      <c r="L38" s="36" t="n"/>
      <c r="M38" s="41" t="n"/>
    </row>
    <row r="39" ht="60" customHeight="1">
      <c r="A39" s="38">
        <f>IF(B36="","",1+A35)</f>
        <v/>
      </c>
      <c r="B39" s="38" t="inlineStr">
        <is>
          <t>CISTO</t>
        </is>
      </c>
      <c r="C39" s="39" t="n">
        <v>46163</v>
      </c>
      <c r="D39" s="39" t="inlineStr">
        <is>
          <t>ABELV</t>
        </is>
      </c>
      <c r="E39" s="39" t="inlineStr">
        <is>
          <t>Celso (Gestor de Projetos Abelv) / Leobino (Eng. Civil Abelv)</t>
        </is>
      </c>
      <c r="F39" s="38" t="inlineStr">
        <is>
          <t>Confecção de Andaime de Proteção contra quedas de Materiais para Atividade de Furação da Laje no Prédio do Citostátcio solcitado pela Krrom .</t>
        </is>
      </c>
      <c r="G39" s="38" t="inlineStr">
        <is>
          <t>Impacto: Atraso no Início da Furação da Laje do Citostático (Início Previsto: 15/06 - Atividade do Cronograma: ID 284).</t>
        </is>
      </c>
      <c r="H39" s="38" t="n">
        <v>284</v>
      </c>
      <c r="I39" s="39" t="n">
        <v>46181</v>
      </c>
      <c r="J39" s="39" t="n"/>
      <c r="K39" s="39" t="n"/>
      <c r="L39" s="40" t="n"/>
      <c r="M39" s="41" t="n"/>
    </row>
    <row r="40">
      <c r="A40" s="34">
        <f>IF(B37="","",1+A36)</f>
        <v/>
      </c>
      <c r="B40" s="34" t="inlineStr">
        <is>
          <t>CISTO</t>
        </is>
      </c>
      <c r="C40" s="35" t="n">
        <v>46163</v>
      </c>
      <c r="D40" s="35" t="inlineStr">
        <is>
          <t>ABELV</t>
        </is>
      </c>
      <c r="E40" s="35" t="inlineStr">
        <is>
          <t>Leobino (Eng. Civil Abelv)</t>
        </is>
      </c>
      <c r="F40" s="34" t="inlineStr">
        <is>
          <t>Elaboração de CT para Definição do Projeto dos Diques Técnicos, pois o Projeto Civil orienta a construção de 2 Diques, e o Projeto Mecâncio orienta apenas 1 Dique para todos equipamentos.</t>
        </is>
      </c>
      <c r="G40" s="34" t="inlineStr">
        <is>
          <t>Impacto: Retrabalho nos Diques de Conteção do Piso Técnico, pois já foi iniciado essa atividade. (Início Previsto: 21/05 - Atividade do Cronograma: ID 276).</t>
        </is>
      </c>
      <c r="H40" s="34" t="n">
        <v>276</v>
      </c>
      <c r="I40" s="35" t="n">
        <v>46163</v>
      </c>
      <c r="J40" s="35" t="n"/>
      <c r="K40" s="35" t="n"/>
      <c r="L40" s="36" t="n"/>
      <c r="M40" s="41" t="n"/>
    </row>
    <row r="41">
      <c r="A41" s="38">
        <f>IF(B38="","",1+A37)</f>
        <v/>
      </c>
      <c r="B41" s="38" t="inlineStr">
        <is>
          <t>CISTO</t>
        </is>
      </c>
      <c r="C41" s="39" t="n">
        <v>46163</v>
      </c>
      <c r="D41" s="39" t="inlineStr">
        <is>
          <t>ABELV</t>
        </is>
      </c>
      <c r="E41" s="39" t="inlineStr">
        <is>
          <t>Yohanna (Engenheiro Mecânica Abelv)</t>
        </is>
      </c>
      <c r="F41" s="38" t="inlineStr">
        <is>
          <t>Levantamento Inical do Quantitativo de Tintas para Obra.</t>
        </is>
      </c>
      <c r="G41" s="38" t="n"/>
      <c r="H41" s="38" t="n"/>
      <c r="I41" s="39" t="n">
        <v>46171</v>
      </c>
      <c r="J41" s="39" t="n"/>
      <c r="K41" s="39" t="n"/>
      <c r="L41" s="40" t="n"/>
      <c r="M41" s="41" t="n"/>
    </row>
    <row r="42">
      <c r="A42" s="34">
        <f>IF(B39="","",1+A38)</f>
        <v/>
      </c>
      <c r="B42" s="34" t="inlineStr">
        <is>
          <t>CISTO</t>
        </is>
      </c>
      <c r="C42" s="35" t="n">
        <v>46163</v>
      </c>
      <c r="D42" s="35" t="inlineStr">
        <is>
          <t>CRISTÁLIA</t>
        </is>
      </c>
      <c r="E42" s="35" t="inlineStr">
        <is>
          <t>Leobino (Eng. Civil Abelv)</t>
        </is>
      </c>
      <c r="F42" s="34" t="inlineStr">
        <is>
          <t xml:space="preserve">Solicitar a Cristália a Definição da Tinta Externa que será Aplicada nos Diques de Contenção do Piso Técnico </t>
        </is>
      </c>
      <c r="G42" s="34" t="inlineStr">
        <is>
          <t>Impacto: Atraso na aplicação da Tinta Externa, porem sabendo que no dia 20/05, o Projeto de Civil de Construção dos Diques, não esta em de acordo, com o apresentado pela Mecânica, para a contenção dos equipamentos, já caracterizando Retrabalho.</t>
        </is>
      </c>
      <c r="H42" s="34" t="n"/>
      <c r="I42" s="35" t="n">
        <v>46164</v>
      </c>
      <c r="J42" s="35" t="n"/>
      <c r="K42" s="35" t="n"/>
      <c r="L42" s="36" t="n"/>
      <c r="M42" s="41" t="n"/>
    </row>
    <row r="43">
      <c r="A43" s="44">
        <f>IF(B40="","",1+A39)</f>
        <v/>
      </c>
      <c r="B43" s="45" t="n"/>
      <c r="C43" s="46" t="n"/>
      <c r="D43" s="46" t="n"/>
      <c r="E43" s="47" t="n"/>
      <c r="F43" s="48" t="n"/>
      <c r="G43" s="48" t="n"/>
      <c r="H43" s="49" t="n"/>
      <c r="I43" s="46" t="n"/>
      <c r="J43" s="46" t="n"/>
      <c r="K43" s="46" t="n"/>
      <c r="L43" s="50" t="n"/>
      <c r="M43" s="46" t="n"/>
    </row>
    <row r="44">
      <c r="A44" s="44">
        <f>IF(B41="","",1+A40)</f>
        <v/>
      </c>
      <c r="B44" s="45" t="n"/>
      <c r="C44" s="46" t="n"/>
      <c r="D44" s="46" t="n"/>
      <c r="E44" s="47" t="n"/>
      <c r="F44" s="48" t="n"/>
      <c r="G44" s="48" t="n"/>
      <c r="H44" s="49" t="n"/>
      <c r="I44" s="46" t="n"/>
      <c r="J44" s="46" t="n"/>
      <c r="K44" s="46" t="n"/>
      <c r="L44" s="50" t="n"/>
      <c r="M44" s="46" t="n"/>
    </row>
    <row r="45">
      <c r="A45" s="44">
        <f>IF(B42="","",1+A41)</f>
        <v/>
      </c>
      <c r="B45" s="45" t="n"/>
      <c r="C45" s="46" t="n"/>
      <c r="D45" s="46" t="n"/>
      <c r="E45" s="47" t="n"/>
      <c r="F45" s="48" t="n"/>
      <c r="G45" s="48" t="n"/>
      <c r="H45" s="49" t="n"/>
      <c r="I45" s="46" t="n"/>
      <c r="J45" s="46" t="n"/>
      <c r="K45" s="46" t="n"/>
      <c r="L45" s="50" t="n"/>
      <c r="M45" s="46" t="n"/>
    </row>
    <row r="46">
      <c r="A46" s="44">
        <f>IF(B43="","",1+A42)</f>
        <v/>
      </c>
      <c r="B46" s="45" t="n"/>
      <c r="C46" s="46" t="n"/>
      <c r="D46" s="46" t="n"/>
      <c r="E46" s="47" t="n"/>
      <c r="F46" s="48" t="n"/>
      <c r="G46" s="48" t="n"/>
      <c r="H46" s="49" t="n"/>
      <c r="I46" s="46" t="n"/>
      <c r="J46" s="46" t="n"/>
      <c r="K46" s="46" t="n"/>
      <c r="L46" s="50" t="n"/>
      <c r="M46" s="46" t="n"/>
    </row>
    <row r="47">
      <c r="A47" s="44">
        <f>IF(B44="","",1+A43)</f>
        <v/>
      </c>
      <c r="B47" s="45" t="n"/>
      <c r="C47" s="46" t="n"/>
      <c r="D47" s="46" t="n"/>
      <c r="E47" s="47" t="n"/>
      <c r="F47" s="48" t="n"/>
      <c r="G47" s="48" t="n"/>
      <c r="H47" s="49" t="n"/>
      <c r="I47" s="46" t="n"/>
      <c r="J47" s="46" t="n"/>
      <c r="K47" s="46" t="n"/>
      <c r="L47" s="50" t="n"/>
      <c r="M47" s="46" t="n"/>
    </row>
    <row r="48">
      <c r="A48" s="44">
        <f>IF(B45="","",1+A44)</f>
        <v/>
      </c>
      <c r="B48" s="45" t="n"/>
      <c r="C48" s="46" t="n"/>
      <c r="D48" s="46" t="n"/>
      <c r="E48" s="47" t="n"/>
      <c r="F48" s="48" t="n"/>
      <c r="G48" s="48" t="n"/>
      <c r="H48" s="49" t="n"/>
      <c r="I48" s="46" t="n"/>
      <c r="J48" s="46" t="n"/>
      <c r="K48" s="46" t="n"/>
      <c r="L48" s="50" t="n"/>
      <c r="M48" s="46" t="n"/>
    </row>
    <row r="49">
      <c r="A49" s="44">
        <f>IF(B46="","",1+A45)</f>
        <v/>
      </c>
      <c r="B49" s="45" t="n"/>
      <c r="C49" s="46" t="n"/>
      <c r="D49" s="46" t="n"/>
      <c r="E49" s="47" t="n"/>
      <c r="F49" s="48" t="n"/>
      <c r="G49" s="48" t="n"/>
      <c r="H49" s="49" t="n"/>
      <c r="I49" s="46" t="n"/>
      <c r="J49" s="46" t="n"/>
      <c r="K49" s="46" t="n"/>
      <c r="L49" s="50" t="n"/>
      <c r="M49" s="46" t="n"/>
    </row>
    <row r="50">
      <c r="A50" s="44">
        <f>IF(B47="","",1+A46)</f>
        <v/>
      </c>
      <c r="B50" s="45" t="n"/>
      <c r="C50" s="46" t="n"/>
      <c r="D50" s="46" t="n"/>
      <c r="E50" s="47" t="n"/>
      <c r="F50" s="48" t="n"/>
      <c r="G50" s="48" t="n"/>
      <c r="H50" s="49" t="n"/>
      <c r="I50" s="46" t="n"/>
      <c r="J50" s="46" t="n"/>
      <c r="K50" s="46" t="n"/>
      <c r="L50" s="50" t="n"/>
      <c r="M50" s="46" t="n"/>
    </row>
    <row r="51">
      <c r="A51" s="44">
        <f>IF(B48="","",1+A47)</f>
        <v/>
      </c>
      <c r="B51" s="45" t="n"/>
      <c r="C51" s="46" t="n"/>
      <c r="D51" s="46" t="n"/>
      <c r="E51" s="47" t="n"/>
      <c r="F51" s="48" t="n"/>
      <c r="G51" s="48" t="n"/>
      <c r="H51" s="49" t="n"/>
      <c r="I51" s="46" t="n"/>
      <c r="J51" s="46" t="n"/>
      <c r="K51" s="46" t="n"/>
      <c r="L51" s="50" t="n"/>
      <c r="M51" s="46" t="n"/>
    </row>
    <row r="52">
      <c r="A52" s="44">
        <f>IF(B49="","",1+A48)</f>
        <v/>
      </c>
      <c r="B52" s="45" t="n"/>
      <c r="C52" s="46" t="n"/>
      <c r="D52" s="46" t="n"/>
      <c r="E52" s="47" t="n"/>
      <c r="F52" s="48" t="n"/>
      <c r="G52" s="48" t="n"/>
      <c r="H52" s="49" t="n"/>
      <c r="I52" s="46" t="n"/>
      <c r="J52" s="46" t="n"/>
      <c r="K52" s="46" t="n"/>
      <c r="L52" s="50" t="n"/>
      <c r="M52" s="46" t="n"/>
    </row>
    <row r="53">
      <c r="A53" s="44">
        <f>IF(B50="","",1+A49)</f>
        <v/>
      </c>
      <c r="B53" s="45" t="n"/>
      <c r="C53" s="46" t="n"/>
      <c r="D53" s="46" t="n"/>
      <c r="E53" s="47" t="n"/>
      <c r="F53" s="48" t="n"/>
      <c r="G53" s="48" t="n"/>
      <c r="H53" s="49" t="n"/>
      <c r="I53" s="46" t="n"/>
      <c r="J53" s="46" t="n"/>
      <c r="K53" s="46" t="n"/>
      <c r="L53" s="50" t="n"/>
      <c r="M53" s="46" t="n"/>
    </row>
    <row r="54">
      <c r="A54" s="44">
        <f>IF(B51="","",1+A50)</f>
        <v/>
      </c>
      <c r="B54" s="45" t="n"/>
      <c r="C54" s="46" t="n"/>
      <c r="D54" s="46" t="n"/>
      <c r="E54" s="47" t="n"/>
      <c r="F54" s="48" t="n"/>
      <c r="G54" s="48" t="n"/>
      <c r="H54" s="49" t="n"/>
      <c r="I54" s="46" t="n"/>
      <c r="J54" s="46" t="n"/>
      <c r="K54" s="46" t="n"/>
      <c r="L54" s="50" t="n"/>
      <c r="M54" s="46" t="n"/>
    </row>
    <row r="55">
      <c r="A55" s="44">
        <f>IF(B52="","",1+A51)</f>
        <v/>
      </c>
      <c r="B55" s="45" t="n"/>
      <c r="C55" s="46" t="n"/>
      <c r="D55" s="46" t="n"/>
      <c r="E55" s="47" t="n"/>
      <c r="F55" s="48" t="n"/>
      <c r="G55" s="48" t="n"/>
      <c r="H55" s="49" t="n"/>
      <c r="I55" s="46" t="n"/>
      <c r="J55" s="46" t="n"/>
      <c r="K55" s="46" t="n"/>
      <c r="L55" s="50" t="n"/>
      <c r="M55" s="46" t="n"/>
    </row>
    <row r="56">
      <c r="A56" s="44">
        <f>IF(B53="","",1+A52)</f>
        <v/>
      </c>
      <c r="B56" s="45" t="n"/>
      <c r="C56" s="46" t="n"/>
      <c r="D56" s="46" t="n"/>
      <c r="E56" s="47" t="n"/>
      <c r="F56" s="48" t="n"/>
      <c r="G56" s="48" t="n"/>
      <c r="H56" s="49" t="n"/>
      <c r="I56" s="46" t="n"/>
      <c r="J56" s="46" t="n"/>
      <c r="K56" s="46" t="n"/>
      <c r="L56" s="50" t="n"/>
      <c r="M56" s="46" t="n"/>
    </row>
    <row r="57">
      <c r="A57" s="44">
        <f>IF(B54="","",1+A53)</f>
        <v/>
      </c>
      <c r="B57" s="45" t="n"/>
      <c r="C57" s="46" t="n"/>
      <c r="D57" s="46" t="n"/>
      <c r="E57" s="47" t="n"/>
      <c r="F57" s="48" t="n"/>
      <c r="G57" s="48" t="n"/>
      <c r="H57" s="49" t="n"/>
      <c r="I57" s="46" t="n"/>
      <c r="J57" s="46" t="n"/>
      <c r="K57" s="46" t="n"/>
      <c r="L57" s="50" t="n"/>
      <c r="M57" s="46" t="n"/>
    </row>
  </sheetData>
  <autoFilter ref="A2:L54"/>
  <mergeCells count="4">
    <mergeCell ref="I2:M2"/>
    <mergeCell ref="A3:M3"/>
    <mergeCell ref="A2:H2"/>
    <mergeCell ref="A1:M1"/>
  </mergeCells>
  <conditionalFormatting sqref="M1:M1048576">
    <cfRule type="cellIs" priority="1" operator="equal" dxfId="2">
      <formula>"ATENÇÃO"</formula>
    </cfRule>
    <cfRule type="cellIs" priority="2" operator="equal" dxfId="1">
      <formula>"ATRASADO"</formula>
    </cfRule>
    <cfRule type="cellIs" priority="3" operator="equal" dxfId="0">
      <formula>"CONCLUÍDO"</formula>
    </cfRule>
  </conditionalFormatting>
  <pageMargins left="0.511811024" right="0.511811024" top="0.787401575" bottom="0.787401575" header="0.31496062" footer="0.31496062"/>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Ilson dos Santos Azevedo</dc:creator>
  <dcterms:created xmlns:dcterms="http://purl.org/dc/terms/" xmlns:xsi="http://www.w3.org/2001/XMLSchema-instance" xsi:type="dcterms:W3CDTF">2026-05-19T12:30:36Z</dcterms:created>
  <dcterms:modified xmlns:dcterms="http://purl.org/dc/terms/" xmlns:xsi="http://www.w3.org/2001/XMLSchema-instance" xsi:type="dcterms:W3CDTF">2026-05-22T11:52:28Z</dcterms:modified>
  <cp:lastModifiedBy>Ilson dos Santos Azevedo</cp:lastModifiedBy>
</cp:coreProperties>
</file>