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lson\Documents\ABELV\Planejamento\Restrições\"/>
    </mc:Choice>
  </mc:AlternateContent>
  <xr:revisionPtr revIDLastSave="0" documentId="13_ncr:1_{D28C9F8D-2A60-4210-9F46-F33670B2907A}" xr6:coauthVersionLast="47" xr6:coauthVersionMax="47" xr10:uidLastSave="{00000000-0000-0000-0000-000000000000}"/>
  <bookViews>
    <workbookView xWindow="-108" yWindow="-108" windowWidth="23256" windowHeight="13896" xr2:uid="{E01078DF-2423-46DE-90E5-8854495A3969}"/>
  </bookViews>
  <sheets>
    <sheet name="Planilha1" sheetId="1" r:id="rId1"/>
  </sheets>
  <definedNames>
    <definedName name="_xlnm._FilterDatabase" localSheetId="0" hidden="1">Planilha1!$A$2:$L$54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1" i="1" l="1"/>
  <c r="A45" i="1"/>
  <c r="A46" i="1"/>
  <c r="A47" i="1"/>
  <c r="A48" i="1"/>
  <c r="A49" i="1"/>
  <c r="A50" i="1"/>
  <c r="A51" i="1"/>
  <c r="A52" i="1"/>
  <c r="A53" i="1"/>
  <c r="A54" i="1"/>
  <c r="L6" i="1"/>
  <c r="M6" i="1" s="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l="1"/>
  <c r="A36" i="1" s="1"/>
  <c r="A37" i="1" s="1"/>
  <c r="A38" i="1" s="1"/>
  <c r="A39" i="1" s="1"/>
  <c r="A40" i="1" s="1"/>
  <c r="A41" i="1" s="1"/>
  <c r="A42" i="1" s="1"/>
  <c r="A43" i="1" s="1"/>
  <c r="A44" i="1" s="1"/>
</calcChain>
</file>

<file path=xl/sharedStrings.xml><?xml version="1.0" encoding="utf-8"?>
<sst xmlns="http://schemas.openxmlformats.org/spreadsheetml/2006/main" count="256" uniqueCount="131">
  <si>
    <t>ITEM</t>
  </si>
  <si>
    <t>PROJETO</t>
  </si>
  <si>
    <t>ELABORAÇÃO</t>
  </si>
  <si>
    <t>DESCRIÇÃO</t>
  </si>
  <si>
    <t>NECESSIDADE</t>
  </si>
  <si>
    <t>REPONSÁVEL</t>
  </si>
  <si>
    <t>KROOM</t>
  </si>
  <si>
    <t>EMPRESA RESP.</t>
  </si>
  <si>
    <t>CONCLUSÃO REAL</t>
  </si>
  <si>
    <t>DIAS ATRASADO</t>
  </si>
  <si>
    <t>Mobilização da Krrom para realização da Tarefa do Dique no Piso Técnico</t>
  </si>
  <si>
    <t>Recebimento de Materiais do Dique no Piso Técnico</t>
  </si>
  <si>
    <t>STATUS</t>
  </si>
  <si>
    <t>CONCLUÍDO</t>
  </si>
  <si>
    <t>ABELV</t>
  </si>
  <si>
    <t>CRISTÁLIA</t>
  </si>
  <si>
    <t>Edson (Cristália) / Leobino (Eng. Civil Abelv)</t>
  </si>
  <si>
    <t>OBSERVAÇÃO</t>
  </si>
  <si>
    <t>Leobino (Eng. Civil Abelv)</t>
  </si>
  <si>
    <t>19/05: Pedente a entrega dos materiais</t>
  </si>
  <si>
    <t>Retirada de 2 Peças de Vidro da Sala Limpa, pois esta imepdindo a continidade da Marcação das Bases que serão construídas.</t>
  </si>
  <si>
    <t>Chegada de Materiais para Fabricação da Tubulação do Trap</t>
  </si>
  <si>
    <t>IMPACTO</t>
  </si>
  <si>
    <t>Impedi a continuação da Locação da Bases que serão construídas na Sala Limpa.</t>
  </si>
  <si>
    <t>Cobrar Definição da Cristália a respeito da Locação da Plataforma do Reatores em Função da Instalação da Nova Linha Hidrossanitária.</t>
  </si>
  <si>
    <t>Tiago (Gestor de Projetos Abelv)</t>
  </si>
  <si>
    <t>Acompanhamento / Recebimento das Conexões de Aço Carbono</t>
  </si>
  <si>
    <t>Impacta o início do Corte do Piso para confecção da das bases da Plataforma do Reatores (Início Previsto: 21/05- Atividade do Cronograma: ID 22). E Demolição do Piso para Instalação da Rede Hidrossanitária (Início Previsto: 18/05 - Atividade do Cronograma: ID 58).</t>
  </si>
  <si>
    <t>Impacta na Fabricação da Tubulação de Aço Carbono (Início Previsto: 25/05/26 -  Atividade do Cronograma: ID 54 e ID 317).</t>
  </si>
  <si>
    <t>ATRASADO</t>
  </si>
  <si>
    <t>ATENÇÃO</t>
  </si>
  <si>
    <t>Acompanhamento / Recebimento da Tubulação de Aço Carbono</t>
  </si>
  <si>
    <t>Uehara (Engenheiro Mecânico do HVAC Abelv)</t>
  </si>
  <si>
    <t>Impacta no Inicio da Demolição da Piso do Radier do Lavador de Gases a Título de Área caso aconteça alguma mudança significativa. (Início Previsto: 25/05/26 - Atividade do Cronograma: ID 466).</t>
  </si>
  <si>
    <t>Contratação Lavador de Gases</t>
  </si>
  <si>
    <t>19/05: Aguardando o Setor de Suprimentos da Abelv Fechar o Pedido.</t>
  </si>
  <si>
    <t xml:space="preserve">Fechamento do Pedido de Compra do Lavador de Gases </t>
  </si>
  <si>
    <t xml:space="preserve">Validar a Mudança Dimensional da Base do Lavadaor de Gases </t>
  </si>
  <si>
    <t>Impacta na identificação real do Dimensional da Base do Lavadaor de Gases, consequentemente também imapctando o Inicio da Demolição da Piso do Radier do Lavador de Gases a Título de Área caso aconteça alguma mudança significativa. (Início Previsto: 25/05/26 - Atividade do Cronograma: ID 466).</t>
  </si>
  <si>
    <t>Ana Assis (Gerente do Suprimentos Abelv)</t>
  </si>
  <si>
    <t>CISTO</t>
  </si>
  <si>
    <t>FARMO</t>
  </si>
  <si>
    <t>Impacta na Contratação da Empresa para realização da Estaca, por ventura impactando na compra de materiais da estaca (Início Previsto: 08/06 - Atividade do Cronograma: ID 118).</t>
  </si>
  <si>
    <t>Definição do Tipo de  Fundação do Prédio</t>
  </si>
  <si>
    <t>Recebimento do Projeto da Base do Lavador de Gases Existente.</t>
  </si>
  <si>
    <t>Impacta na Formalização da Nova Locação que foi combinada IN LOCO para execução da base do Lavador existente. Inicio da Confecção da Nova Base (Radier) do Lavador de Gases Existente (Início Previsto: 05/06/26 - Atividade do Cronograma: ID 251).</t>
  </si>
  <si>
    <t>MGC</t>
  </si>
  <si>
    <t>Yohanna (Engenheiro Mecânica Abelv)</t>
  </si>
  <si>
    <t>Solicitação e Recebimento dos Projetos do Farmoquímico da Empresa MGC, e envio para Cristália para aprovação</t>
  </si>
  <si>
    <t>Impacta na Compra dos Materiais e Subscontratações para realização dos materiais.</t>
  </si>
  <si>
    <t xml:space="preserve">Enviar para a MGC as cotas de elevação do Lovador de Gases </t>
  </si>
  <si>
    <t xml:space="preserve">Impacta na confecção do Projeto do Radier do Lavador de Gases </t>
  </si>
  <si>
    <t>Enviar para a MGC as cotas de elevação da Sala Elétrica</t>
  </si>
  <si>
    <t>Impacta na confecção do Projeto da Sala Elétrica</t>
  </si>
  <si>
    <t>A Krrom precisa informa a Data do que irão apresentar o Tipo de Fundação que será aplicada no Farmoquímico.</t>
  </si>
  <si>
    <t>A Krrom precisa apresentar a Metodologia de Corte que será aplicado para avaliar a resistencia do piso onde poderá ser contruido a base da Plataforma dos Reatores, em função da Interferência da Instalação da Nova Rede Hidrossanitária.</t>
  </si>
  <si>
    <t>Elaboração do Pedido da Tubulação de Água Pluvial</t>
  </si>
  <si>
    <t>Impacta a Compra da Tubulação de Água Pluvial</t>
  </si>
  <si>
    <t>Diego (Gerente de Projetos da Kroom) / Leobino (Eng. Civil Abelv)</t>
  </si>
  <si>
    <t>Rodrigo (Téc. Planej. da Kroom) / Leobino (Eng. Civil Abelv)</t>
  </si>
  <si>
    <t>A Kroom precisa enviar os Pedidos de Faturamento Direto</t>
  </si>
  <si>
    <t>Imapcto na Medição</t>
  </si>
  <si>
    <t>Impacto de acesso para realização das Frentes de Montagem</t>
  </si>
  <si>
    <t>Tiago (Gestor de Projetos Abelv) / Celso (Gestor de Projetos Abelv)</t>
  </si>
  <si>
    <t>Verificação do Efetivo de Andaime para atendimento das Obras (Farmoquímico e Citostático).</t>
  </si>
  <si>
    <t>Montagem do Pipe-Shop de Aço Carbono no Canteiro de Obra Abelv.</t>
  </si>
  <si>
    <t>O Setor de Compras precisa enviar o Efetivo (Nomes e Cpfs dos colaboradores) da empresa contratada Açoplast (Estrutura Metálica) para Tiago Matos, para posterior envio para Cristália realizar a avaliação social dos mesmos.</t>
  </si>
  <si>
    <t>EriK Massola (Comprador Abelv) / Tiago Tiago (Gestor de Projetos Abelv)</t>
  </si>
  <si>
    <t>Contratação do Fornecedor de Andaime.</t>
  </si>
  <si>
    <t>Edimar Cunha (Supervisor de Suprimentos Abelv) / Tiago Tiago (Gestor de Projetos Abelv)</t>
  </si>
  <si>
    <t>Impacto: Caso aconteça alguma aditoria ou acidente, estamos descobertos por documentação legal de subcontratação.</t>
  </si>
  <si>
    <t>A empresa Krrom precisa Regularizar a Documentação da Empresa Recicla (Bota Fora).</t>
  </si>
  <si>
    <t>Verificação da readequação do Projeto da Plataforma dos Reatores por base do nosso fornecedor que vai fabricar, pois os reatores adquiridos pela Cristália não cabe no mesmo.</t>
  </si>
  <si>
    <t>20/05: A Krrom apresentou a alterantiva de realização de um Ensaio Não Destrutivo de Esclerometria, pois seria mais rápido o metódo de avaliação da Resistência Mecânica.</t>
  </si>
  <si>
    <t>Confirmação do Cliente da Aplicação de Tinta Asfaltica nos Dique do Piso Técnico, conforme orientado no Projeto.</t>
  </si>
  <si>
    <t>Elaboração do Estudo de HH aplicado até a data 19/05/26, conforme solicitado em reunião.</t>
  </si>
  <si>
    <t>Compra ou Projeção de Compra do Pluviômetro, com objetivo de medir a quantidade de chuva (precipitação) na Obra, e registrar os impactos das atividades.</t>
  </si>
  <si>
    <t>O Filtro Secador adquiro pela Cristália não cabe na base do Projeto Fornecido, logo a Cristália ficou de elaborar um Novo Projeto da Base do Filtro Secador para essa nova realidade.</t>
  </si>
  <si>
    <t>A Cristália tem que apresentar o Projeto da Nova Locaçao do Ralo do Sistema Hidrossanitário, pois o Projeto Atual da Base da Plataforma do Reatores estão na mesma cooredenada do Ralos.</t>
  </si>
  <si>
    <t>Impacto: Atraso na Fabricação do Projeto da Plataforma do Reatores, por necessidade de elaboração do Novo Projeto para readequação do novo lay-out (Início e Térmico Previsto: 14/05/26 e 13/07/26 -  Atividade do Cronograma: ID 650).</t>
  </si>
  <si>
    <t>ID IMPACT</t>
  </si>
  <si>
    <t>Impacto: Atraso na Construção da Nova Base do Filtro Secador  (Início Previsto: 20/05/26 -  Atividade do Cronograma: ID 9).</t>
  </si>
  <si>
    <t>Impacto: Atraso na Conclusão do Corte do Piso para Novo Sistema Hidrossanitário.  (Término Previsto: 18/05/26 -  Atividade do Cronograma: ID 59).</t>
  </si>
  <si>
    <t>20/05: Sr. Edson da Cristália na Reunião de Planejamento no Canteiro, orientou continuarmos segundo o Projeto.</t>
  </si>
  <si>
    <t>Impacto: Registro de Comprovação de Impactos de Chuvas a nivel de RDO.</t>
  </si>
  <si>
    <t>Celso (Gestor de Projetos Abelv)</t>
  </si>
  <si>
    <t>Emissão de Solicitação de Compra (SC) para Fabricação da Linha do Dreno do TRAP</t>
  </si>
  <si>
    <t>Impacto; Fabricação da Linha do Trap (Início Previsto: 25/05 - Atividade do Cronograma: ID 169).</t>
  </si>
  <si>
    <t>Elaboração de CT (Consulta Técnica) a respeito da Aplicação da Tinta Asfáltica que segundo o Projeto esta orientando aplicar nos Diques do Pavimento Técnico.</t>
  </si>
  <si>
    <t>Impacto: Pintura Asfaltica nos Diques do Primeiro Pavimento (Início Previsto: 02/06 - Atividade do Cronograma: ID 279).</t>
  </si>
  <si>
    <t>Solicitação de Visita Técnica e envio de documentação dos Colaboradores da empresa GEOCOM (Empresa de Ensaio de Esclerometria).</t>
  </si>
  <si>
    <t xml:space="preserve">Impacto: Atraso do início da confecção da base dos reatores, atividade que estava prevista para o dia 21/05/26 (ID: 22), em virtude do Projeto Fornecido pela Cristália, a base da Plataforma do Reator está locado no Local do Ralo. </t>
  </si>
  <si>
    <t>Ilson (Planejador Abelv) / Victor (Planejador Abelv)</t>
  </si>
  <si>
    <t>Impacta no início da Fundação do Prédio (Início Previsto: 20/08/26 - Atividade do Cronograma: ID 431).</t>
  </si>
  <si>
    <t>Confecção de Andaime de Proteção contra quedas de Materiais para Atividade de Furação da Laje no Prédio do Citostátcio solcitado pela Krrom .</t>
  </si>
  <si>
    <t>Impacto: Atraso no Início da Furação da Laje do Citostático (Início Previsto: 15/06 - Atividade do Cronograma: ID 284).</t>
  </si>
  <si>
    <t>Celso (Gestor de Projetos Abelv) / Leobino (Eng. Civil Abelv)</t>
  </si>
  <si>
    <t>Elaboração de CT para Definição do Projeto dos Diques Técnicos, pois o Projeto Civil orienta a construção de 2 Diques, e o Projeto Mecâncio orienta apenas 1 Dique para todos equipamentos.</t>
  </si>
  <si>
    <t>Impacto: Retrabalho nos Diques de Conteção do Piso Técnico, pois já foi iniciado essa atividade. (Início Previsto: 21/05 - Atividade do Cronograma: ID 276).</t>
  </si>
  <si>
    <t xml:space="preserve">Solicitar a Cristália a Definição da Tinta Externa que será Aplicada nos Diques de Contenção do Piso Técnico </t>
  </si>
  <si>
    <t>Levantamento Inical do Quantitativo de Tintas para Obra.</t>
  </si>
  <si>
    <t>Impacto: Atraso na aplicação da Tinta Externa, porem sabendo que no dia 20/05, o Projeto de Civil de Construção dos Diques, não esta em de acordo, com o apresentado pela Mecânica, para a contenção dos equipamentos, já caracterizando Retrabalho.</t>
  </si>
  <si>
    <t>22/05: A GEOCOM, realizaou o ensaio de Esclerometria.</t>
  </si>
  <si>
    <t>25/05: Não foi mobilizado a equipe da Krrom ( no momento 3 colaborodores), pois a Krrom não recebeu o sinal).</t>
  </si>
  <si>
    <t>381;431</t>
  </si>
  <si>
    <t>Impacto: Caso não tenha a disponibilidade de 1 Caixa de Ar para realização da primeira mudança do Lavador de Gases, para a Nova mudança, poderá atrasar essa operação (Início Previsto: 14/07 - Atividade do Cronograma (Montagem do Lavador de Gases 01 (Reserva)): ID 262).</t>
  </si>
  <si>
    <t>Edson (Cristália) / Yohanna (Engenheiro Mecânica Abelv)</t>
  </si>
  <si>
    <t>Impacto: Possibilidade de atraso no início da Fundação, ou da linha de Drenagem, caso tenha demora no retorno da devolutiva do cliente,  (Início Previsto: 21/08 (FUNDAÇÕES - Atividade do Cronograma: ID 431, e início Previsto: 22/12 (Drenagem Pluvial - Rota e PVs - Atividade do Cronograma: ID 381).</t>
  </si>
  <si>
    <t>Elaboração de Consulta Técnica (CT) para saber qual tratativa a ser executada tendo em vista que os Lavadores de Gases, apresentam 1 Caixa de Ar que se comunica aos 2 Equipamentos dos Farmoquímico, logo para fazer a primeira manobra de instalar o primeiro, para possibilitar a desativação e remoção do segundo do estado inicial, precisamos antes condicionar o primeiro removida com uma Caixa de Ar.</t>
  </si>
  <si>
    <t>Impacto: Caso atrase, e tenha novamente a necessidade de mudança no Projeto do Dique de Contenção do Piso Técnico, teremos que novamente retrabalhar na confecção do Dique, cujo já teve retrabalho, por necessidade dimensional dos equipamentos (Início Previsto: 21/05 - Atividade do Cronograma (Assentamento de Blocos de Alvenaria): ID 276).</t>
  </si>
  <si>
    <t>Elaboração de Consulta Técnica (CT) para identificar a posição e trajetória da Linha de Incêndio encontrada na escavação, pois existe a possibilidade de topar com nova Rede Drenagem Pluvial ou posição atual do Prédio que será construído. E saber com qual será a tratativa da correção estrutural da mesma, tendo em vista que ele apresenta para pontos de corrosão (diversos pontos), aparente baixa espessura, e vazamento e vários pontos.</t>
  </si>
  <si>
    <t>A Cristália deve enviar os Projetos dos Equipamentos (Banhos Térmicos dos Reatores: BT-008, BT-009 e BT-010), para que Abelv, possa verificar se os mesmos cabem dentro do Novo Dique Técnico). Essa informação foi solicitado por e-mail.</t>
  </si>
  <si>
    <t>Edson (Cristália) / Ilson (Planejamento Abelv)</t>
  </si>
  <si>
    <t>Comunicar a Cristália que a os Elevadores (EL-001 e EL-002) são de Fornecimento e Instalação da Cristália segundo o Contrato.</t>
  </si>
  <si>
    <t>Impacto: Instalação dos elevadores (EL-001 e El-002).</t>
  </si>
  <si>
    <t>25/05: Já informeio Lucas e Edson da Cristália via celular, dia 25/05/26.</t>
  </si>
  <si>
    <t>Solicitar a Equipe da empresa contratada Açoplast (Estrutura Metálica), o preenchimento e envio para Abelv a Planilha Nominal com os Dados dos Colaboradores que realmente irão vim para o Site. O objetivo é realizarmos a avaliação social da Cristália.</t>
  </si>
  <si>
    <t>Impacto: Caso os mesmos não forem aprovados, eles não poderão adentrar ao site, podendo impactar o prazo da obra.(Início Previsto: 21/05 - Atividade do Cronograma (Fabricação dos Dutos): ID 561).</t>
  </si>
  <si>
    <t>Impacto: Necessidade de Contratação de outros colaboradores, de forma emergencial para adentrar o site, consequentemente atraso no início da Fabricação dos Dutos de HVAC. (Início Previsto: 21/05 - Atividade do Cronograma (Fabricação dos Dutos): ID 561).</t>
  </si>
  <si>
    <t>25/05: Leobino informou que no dia 25/05/26, o Edson da Cristália já tinha o Projeto da Linha de Incêndio Aéreo, que irá nos fornecer até o dia 26/05/26.</t>
  </si>
  <si>
    <t>26/05: Chegou o Pluviômetro no Site.</t>
  </si>
  <si>
    <t>26/05: Leobino na Reunião de Bom dia nos informou que já fez a CT;</t>
  </si>
  <si>
    <t>Impacto: Atraso na fabricação da Linha de Água Gelada, porém já em atraso pois até hoje (26/05/26), não chegaram as conexões para startar a Fabricação, (Início Previsto: 25/05 - Atividade do Cronograma (Pré-Fabricação de Tubulação/ AG): ID 261).</t>
  </si>
  <si>
    <t>Adequação do Projeto da Linha de AG que conecta com a Linha TRAP (Isométrico).</t>
  </si>
  <si>
    <t>Elaboração de MC (Mapa de Cotação) para a compra dos materiais faltantes do suporte de tubulação, devido à incompatibilidade da LPU com o projeto recebido pela Cristália.)</t>
  </si>
  <si>
    <t>Impacto: Atraso na fabricação dos suportes (Início previsto: 20/05 até o término previsto: 16/06/26 — Atividade do Cronograma: Fabricação dos Suportes, ID 254).</t>
  </si>
  <si>
    <t>Finalização da escavação na região da construção da sala elétrica, para identificar interferências no local da fundação.</t>
  </si>
  <si>
    <t>Impacto: Atraso na remoção de eventuais interferências, devido à necessidade de avaliação pelo cliente, com consequente impacto no início dos serviços civis da sala elétrica e da base do radier do lavador de gases existente (Início previsto: 18/06 — ID 251).</t>
  </si>
  <si>
    <t>Elaboração do layout dimensional do lavador de gases existente do Farmoquímico.</t>
  </si>
  <si>
    <t>15; 251</t>
  </si>
  <si>
    <t>Impacto: Esta atividade afeta a subcontratada MGC na elaboração do projeto do radier do lavador de gases que receberá os equipamentos (Período previsto: 05/05 a 15/05/26 — Atividade do Cronograma: Elaboração do Projeto do Radier dos Lavadores de Gases, ID 15). Como consequência, haverá um atraso posterior na construção do radier do lavador de gases existente (Início previsto: 18/06 — Atividade do Cronograma: ID 251).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</si>
</sst>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9"/>
      <color theme="1"/>
      <name val="Aptos Narrow"/>
      <family val="2"/>
      <scheme val="minor"/>
    </font>
    <font>
      <b/>
      <sz val="9"/>
      <color theme="0"/>
      <name val="Aptos Narrow"/>
      <family val="2"/>
      <scheme val="minor"/>
    </font>
    <font>
      <b/>
      <sz val="8"/>
      <color theme="0"/>
      <name val="Aptos Narrow"/>
      <family val="2"/>
      <scheme val="minor"/>
    </font>
    <font>
      <sz val="9"/>
      <name val="Aptos Narrow"/>
      <family val="2"/>
      <scheme val="minor"/>
    </font>
    <font>
      <sz val="9"/>
      <color rgb="FFFF0000"/>
      <name val="Aptos Narrow"/>
      <family val="2"/>
      <scheme val="minor"/>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002060"/>
        <bgColor indexed="64"/>
      </patternFill>
    </fill>
    <fill>
      <patternFill patternType="solid">
        <fgColor theme="3" tint="0.89999084444715716"/>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1" fillId="2" borderId="0" xfId="0" applyFont="1" applyFill="1"/>
    <xf numFmtId="0" fontId="2" fillId="3" borderId="0" xfId="0" applyFont="1" applyFill="1" applyAlignment="1">
      <alignment horizontal="center" vertical="center"/>
    </xf>
    <xf numFmtId="0" fontId="2" fillId="3" borderId="0" xfId="0" applyFont="1" applyFill="1"/>
    <xf numFmtId="0" fontId="2" fillId="4" borderId="0" xfId="0" applyFont="1" applyFill="1" applyAlignment="1">
      <alignment horizontal="center" vertical="center"/>
    </xf>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0" fontId="1" fillId="2" borderId="1" xfId="0" applyFont="1" applyFill="1" applyBorder="1" applyAlignment="1">
      <alignment horizontal="left" vertical="center" wrapText="1"/>
    </xf>
    <xf numFmtId="0" fontId="3" fillId="4" borderId="0" xfId="0" applyFont="1" applyFill="1" applyAlignment="1">
      <alignment horizontal="center" vertical="center"/>
    </xf>
    <xf numFmtId="0" fontId="1" fillId="5" borderId="1" xfId="0" applyFont="1" applyFill="1" applyBorder="1" applyAlignment="1">
      <alignment horizontal="center" vertical="center"/>
    </xf>
    <xf numFmtId="1" fontId="2" fillId="4" borderId="0" xfId="0" applyNumberFormat="1" applyFont="1" applyFill="1" applyAlignment="1">
      <alignment horizontal="center" vertical="center"/>
    </xf>
    <xf numFmtId="1" fontId="2" fillId="3" borderId="0" xfId="0" applyNumberFormat="1" applyFont="1" applyFill="1"/>
    <xf numFmtId="1" fontId="1" fillId="2" borderId="1" xfId="0" applyNumberFormat="1" applyFont="1" applyFill="1" applyBorder="1" applyAlignment="1">
      <alignment horizontal="center" vertical="center"/>
    </xf>
    <xf numFmtId="1" fontId="1" fillId="2" borderId="0" xfId="0" applyNumberFormat="1" applyFont="1" applyFill="1"/>
    <xf numFmtId="14" fontId="1" fillId="2" borderId="1" xfId="0" applyNumberFormat="1" applyFont="1" applyFill="1" applyBorder="1" applyAlignment="1">
      <alignment horizontal="left" vertical="center"/>
    </xf>
    <xf numFmtId="14" fontId="1" fillId="2" borderId="1" xfId="0" applyNumberFormat="1" applyFont="1" applyFill="1" applyBorder="1" applyAlignment="1">
      <alignment horizontal="center" vertical="center" wrapText="1"/>
    </xf>
    <xf numFmtId="14" fontId="1" fillId="2" borderId="1" xfId="0" applyNumberFormat="1" applyFont="1" applyFill="1" applyBorder="1" applyAlignment="1">
      <alignment horizontal="left" vertical="center" wrapText="1"/>
    </xf>
    <xf numFmtId="0" fontId="2" fillId="4" borderId="0" xfId="0" applyFont="1" applyFill="1" applyAlignment="1">
      <alignment horizontal="center" vertical="center" wrapText="1"/>
    </xf>
    <xf numFmtId="0" fontId="2" fillId="3" borderId="0" xfId="0" applyFont="1" applyFill="1" applyAlignment="1">
      <alignment horizontal="center" vertical="center" wrapText="1"/>
    </xf>
    <xf numFmtId="0" fontId="1" fillId="2" borderId="0" xfId="0" applyFont="1" applyFill="1" applyAlignment="1">
      <alignment wrapText="1"/>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xf>
    <xf numFmtId="0" fontId="4"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2" borderId="1" xfId="0" applyFont="1" applyFill="1" applyBorder="1" applyAlignment="1">
      <alignment horizontal="center" vertical="center"/>
    </xf>
    <xf numFmtId="14" fontId="4" fillId="2" borderId="1" xfId="0" applyNumberFormat="1" applyFont="1" applyFill="1" applyBorder="1" applyAlignment="1">
      <alignment horizontal="center" vertical="center"/>
    </xf>
    <xf numFmtId="14" fontId="4" fillId="2" borderId="1" xfId="0" applyNumberFormat="1" applyFont="1" applyFill="1" applyBorder="1" applyAlignment="1">
      <alignment horizontal="center" vertical="center" wrapText="1"/>
    </xf>
    <xf numFmtId="1" fontId="4" fillId="2" borderId="1" xfId="0" applyNumberFormat="1" applyFont="1" applyFill="1" applyBorder="1" applyAlignment="1">
      <alignment horizontal="center" vertical="center"/>
    </xf>
    <xf numFmtId="0" fontId="4" fillId="2" borderId="0" xfId="0" applyFont="1" applyFill="1"/>
    <xf numFmtId="14" fontId="4" fillId="2" borderId="1" xfId="0" applyNumberFormat="1" applyFont="1" applyFill="1" applyBorder="1" applyAlignment="1">
      <alignment horizontal="left" vertical="center" wrapText="1"/>
    </xf>
    <xf numFmtId="0" fontId="1" fillId="6" borderId="1" xfId="0" applyFont="1" applyFill="1" applyBorder="1" applyAlignment="1">
      <alignment horizontal="center" vertical="center" wrapText="1"/>
    </xf>
    <xf numFmtId="0" fontId="5" fillId="2" borderId="1" xfId="0" applyFont="1" applyFill="1" applyBorder="1" applyAlignment="1">
      <alignment horizontal="center" vertical="center"/>
    </xf>
    <xf numFmtId="14" fontId="5" fillId="2" borderId="1" xfId="0" applyNumberFormat="1" applyFont="1" applyFill="1" applyBorder="1" applyAlignment="1">
      <alignment horizontal="center" vertical="center"/>
    </xf>
    <xf numFmtId="14" fontId="5" fillId="2" borderId="1" xfId="0" applyNumberFormat="1" applyFont="1" applyFill="1" applyBorder="1" applyAlignment="1">
      <alignment horizontal="center" vertical="center" wrapText="1"/>
    </xf>
    <xf numFmtId="0" fontId="5" fillId="2" borderId="1" xfId="0" applyFont="1" applyFill="1" applyBorder="1" applyAlignment="1">
      <alignment horizontal="left" vertical="center" wrapText="1"/>
    </xf>
  </cellXfs>
  <cellStyles count="1">
    <cellStyle name="Normal" xfId="0" builtinId="0"/>
  </cellStyles>
  <dxfs count="3">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A573F-182A-4B30-9FC8-054F5DE8B6F9}">
  <dimension ref="A1:M54"/>
  <sheetViews>
    <sheetView tabSelected="1" workbookViewId="0">
      <pane ySplit="2" topLeftCell="A42" activePane="bottomLeft" state="frozen"/>
      <selection pane="bottomLeft" activeCell="B48" sqref="B48:G48"/>
    </sheetView>
  </sheetViews>
  <sheetFormatPr defaultRowHeight="12" x14ac:dyDescent="0.25"/>
  <cols>
    <col min="1" max="1" width="5.88671875" style="1" customWidth="1"/>
    <col min="2" max="2" width="7.109375" style="1" bestFit="1" customWidth="1"/>
    <col min="3" max="3" width="10.33203125" style="1" bestFit="1" customWidth="1"/>
    <col min="4" max="4" width="10.21875" style="1" bestFit="1" customWidth="1"/>
    <col min="5" max="5" width="29.88671875" style="19" bestFit="1" customWidth="1"/>
    <col min="6" max="7" width="44.33203125" style="1" customWidth="1"/>
    <col min="8" max="8" width="8" style="21" bestFit="1" customWidth="1"/>
    <col min="9" max="9" width="11" style="1" bestFit="1" customWidth="1"/>
    <col min="10" max="10" width="37.21875" style="1" customWidth="1"/>
    <col min="11" max="11" width="13.88671875" style="1" bestFit="1" customWidth="1"/>
    <col min="12" max="12" width="12" style="13" bestFit="1" customWidth="1"/>
    <col min="13" max="13" width="13.88671875" style="1" customWidth="1"/>
    <col min="14" max="16384" width="8.88671875" style="1"/>
  </cols>
  <sheetData>
    <row r="1" spans="1:13" x14ac:dyDescent="0.25">
      <c r="A1" s="4" t="s">
        <v>0</v>
      </c>
      <c r="B1" s="4" t="s">
        <v>1</v>
      </c>
      <c r="C1" s="4" t="s">
        <v>2</v>
      </c>
      <c r="D1" s="8" t="s">
        <v>7</v>
      </c>
      <c r="E1" s="17" t="s">
        <v>5</v>
      </c>
      <c r="F1" s="4" t="s">
        <v>3</v>
      </c>
      <c r="G1" s="4" t="s">
        <v>22</v>
      </c>
      <c r="H1" s="4" t="s">
        <v>80</v>
      </c>
      <c r="I1" s="4" t="s">
        <v>4</v>
      </c>
      <c r="J1" s="4" t="s">
        <v>17</v>
      </c>
      <c r="K1" s="4" t="s">
        <v>8</v>
      </c>
      <c r="L1" s="10" t="s">
        <v>9</v>
      </c>
      <c r="M1" s="4" t="s">
        <v>12</v>
      </c>
    </row>
    <row r="2" spans="1:13" ht="9.6" customHeight="1" x14ac:dyDescent="0.25">
      <c r="A2" s="2"/>
      <c r="B2" s="2"/>
      <c r="C2" s="2"/>
      <c r="D2" s="2"/>
      <c r="E2" s="18"/>
      <c r="F2" s="3"/>
      <c r="G2" s="3"/>
      <c r="H2" s="2"/>
      <c r="I2" s="3"/>
      <c r="J2" s="3"/>
      <c r="K2" s="3"/>
      <c r="L2" s="11"/>
      <c r="M2" s="3"/>
    </row>
    <row r="3" spans="1:13" ht="24" x14ac:dyDescent="0.25">
      <c r="A3" s="9">
        <v>1</v>
      </c>
      <c r="B3" s="5" t="s">
        <v>40</v>
      </c>
      <c r="C3" s="6">
        <v>46153</v>
      </c>
      <c r="D3" s="6" t="s">
        <v>6</v>
      </c>
      <c r="E3" s="15" t="s">
        <v>58</v>
      </c>
      <c r="F3" s="7" t="s">
        <v>10</v>
      </c>
      <c r="G3" s="7"/>
      <c r="H3" s="20"/>
      <c r="I3" s="6">
        <v>46162</v>
      </c>
      <c r="J3" s="14" t="s">
        <v>103</v>
      </c>
      <c r="K3" s="6">
        <v>46153</v>
      </c>
      <c r="L3" s="12"/>
      <c r="M3" s="6" t="s">
        <v>13</v>
      </c>
    </row>
    <row r="4" spans="1:13" ht="24" x14ac:dyDescent="0.25">
      <c r="A4" s="9">
        <f>IF(B4="","",1+A3)</f>
        <v>2</v>
      </c>
      <c r="B4" s="5" t="s">
        <v>40</v>
      </c>
      <c r="C4" s="6">
        <v>46150</v>
      </c>
      <c r="D4" s="6" t="s">
        <v>6</v>
      </c>
      <c r="E4" s="15" t="s">
        <v>58</v>
      </c>
      <c r="F4" s="7" t="s">
        <v>11</v>
      </c>
      <c r="G4" s="7"/>
      <c r="H4" s="20"/>
      <c r="I4" s="6">
        <v>46153</v>
      </c>
      <c r="J4" s="6"/>
      <c r="K4" s="6">
        <v>46153</v>
      </c>
      <c r="L4" s="12">
        <v>0</v>
      </c>
      <c r="M4" s="6" t="s">
        <v>13</v>
      </c>
    </row>
    <row r="5" spans="1:13" ht="36" x14ac:dyDescent="0.25">
      <c r="A5" s="9">
        <f t="shared" ref="A5:A29" si="0">IF(B5="","",1+A4)</f>
        <v>3</v>
      </c>
      <c r="B5" s="5" t="s">
        <v>40</v>
      </c>
      <c r="C5" s="6">
        <v>46150</v>
      </c>
      <c r="D5" s="6" t="s">
        <v>15</v>
      </c>
      <c r="E5" s="15" t="s">
        <v>16</v>
      </c>
      <c r="F5" s="7" t="s">
        <v>20</v>
      </c>
      <c r="G5" s="7" t="s">
        <v>23</v>
      </c>
      <c r="H5" s="20"/>
      <c r="I5" s="6">
        <v>46161</v>
      </c>
      <c r="J5" s="14"/>
      <c r="K5" s="6"/>
      <c r="L5" s="12"/>
      <c r="M5" s="6"/>
    </row>
    <row r="6" spans="1:13" x14ac:dyDescent="0.25">
      <c r="A6" s="9">
        <f t="shared" si="0"/>
        <v>4</v>
      </c>
      <c r="B6" s="5" t="s">
        <v>40</v>
      </c>
      <c r="C6" s="6">
        <v>46147</v>
      </c>
      <c r="D6" s="6" t="s">
        <v>14</v>
      </c>
      <c r="E6" s="15" t="s">
        <v>18</v>
      </c>
      <c r="F6" s="7" t="s">
        <v>21</v>
      </c>
      <c r="G6" s="7"/>
      <c r="H6" s="20"/>
      <c r="I6" s="6">
        <v>46149</v>
      </c>
      <c r="J6" s="14" t="s">
        <v>19</v>
      </c>
      <c r="K6" s="6"/>
      <c r="L6" s="12">
        <f ca="1">(TODAY())-I6</f>
        <v>20</v>
      </c>
      <c r="M6" s="6" t="str">
        <f ca="1">IF(L6="","","ATRASADO")</f>
        <v>ATRASADO</v>
      </c>
    </row>
    <row r="7" spans="1:13" ht="60" x14ac:dyDescent="0.25">
      <c r="A7" s="9">
        <f t="shared" si="0"/>
        <v>5</v>
      </c>
      <c r="B7" s="5" t="s">
        <v>40</v>
      </c>
      <c r="C7" s="6">
        <v>46156</v>
      </c>
      <c r="D7" s="6" t="s">
        <v>15</v>
      </c>
      <c r="E7" s="15" t="s">
        <v>16</v>
      </c>
      <c r="F7" s="7" t="s">
        <v>24</v>
      </c>
      <c r="G7" s="7" t="s">
        <v>27</v>
      </c>
      <c r="H7" s="20"/>
      <c r="I7" s="6">
        <v>46160</v>
      </c>
      <c r="J7" s="6"/>
      <c r="K7" s="6"/>
      <c r="L7" s="12"/>
      <c r="M7" s="6" t="s">
        <v>29</v>
      </c>
    </row>
    <row r="8" spans="1:13" ht="24" x14ac:dyDescent="0.25">
      <c r="A8" s="9">
        <f t="shared" si="0"/>
        <v>6</v>
      </c>
      <c r="B8" s="5" t="s">
        <v>40</v>
      </c>
      <c r="C8" s="6">
        <v>46154</v>
      </c>
      <c r="D8" s="6" t="s">
        <v>14</v>
      </c>
      <c r="E8" s="15" t="s">
        <v>25</v>
      </c>
      <c r="F8" s="7" t="s">
        <v>26</v>
      </c>
      <c r="G8" s="7" t="s">
        <v>28</v>
      </c>
      <c r="H8" s="20"/>
      <c r="I8" s="6">
        <v>46161</v>
      </c>
      <c r="J8" s="6"/>
      <c r="K8" s="6"/>
      <c r="L8" s="12"/>
      <c r="M8" s="6" t="s">
        <v>30</v>
      </c>
    </row>
    <row r="9" spans="1:13" ht="24" x14ac:dyDescent="0.25">
      <c r="A9" s="9">
        <f t="shared" si="0"/>
        <v>7</v>
      </c>
      <c r="B9" s="5" t="s">
        <v>40</v>
      </c>
      <c r="C9" s="6">
        <v>46154</v>
      </c>
      <c r="D9" s="6" t="s">
        <v>14</v>
      </c>
      <c r="E9" s="15" t="s">
        <v>25</v>
      </c>
      <c r="F9" s="7" t="s">
        <v>31</v>
      </c>
      <c r="G9" s="7" t="s">
        <v>28</v>
      </c>
      <c r="H9" s="20"/>
      <c r="I9" s="6">
        <v>46157</v>
      </c>
      <c r="J9" s="6"/>
      <c r="K9" s="6">
        <v>46157</v>
      </c>
      <c r="L9" s="12"/>
      <c r="M9" s="6" t="s">
        <v>13</v>
      </c>
    </row>
    <row r="10" spans="1:13" ht="48" x14ac:dyDescent="0.25">
      <c r="A10" s="9">
        <f t="shared" si="0"/>
        <v>8</v>
      </c>
      <c r="B10" s="5" t="s">
        <v>40</v>
      </c>
      <c r="C10" s="6">
        <v>46157</v>
      </c>
      <c r="D10" s="6" t="s">
        <v>14</v>
      </c>
      <c r="E10" s="15" t="s">
        <v>32</v>
      </c>
      <c r="F10" s="7" t="s">
        <v>37</v>
      </c>
      <c r="G10" s="7" t="s">
        <v>33</v>
      </c>
      <c r="H10" s="20"/>
      <c r="I10" s="6">
        <v>46162</v>
      </c>
      <c r="J10" s="6"/>
      <c r="K10" s="6"/>
      <c r="L10" s="12"/>
      <c r="M10" s="6"/>
    </row>
    <row r="11" spans="1:13" ht="24" x14ac:dyDescent="0.25">
      <c r="A11" s="9">
        <f t="shared" si="0"/>
        <v>9</v>
      </c>
      <c r="B11" s="5" t="s">
        <v>40</v>
      </c>
      <c r="C11" s="6">
        <v>46154</v>
      </c>
      <c r="D11" s="6" t="s">
        <v>14</v>
      </c>
      <c r="E11" s="15" t="s">
        <v>32</v>
      </c>
      <c r="F11" s="7" t="s">
        <v>34</v>
      </c>
      <c r="G11" s="7"/>
      <c r="H11" s="20"/>
      <c r="I11" s="6">
        <v>46157</v>
      </c>
      <c r="J11" s="16" t="s">
        <v>35</v>
      </c>
      <c r="K11" s="6"/>
      <c r="L11" s="12"/>
      <c r="M11" s="6" t="s">
        <v>29</v>
      </c>
    </row>
    <row r="12" spans="1:13" ht="72" x14ac:dyDescent="0.25">
      <c r="A12" s="9">
        <f t="shared" si="0"/>
        <v>10</v>
      </c>
      <c r="B12" s="5" t="s">
        <v>40</v>
      </c>
      <c r="C12" s="6">
        <v>46161</v>
      </c>
      <c r="D12" s="6" t="s">
        <v>14</v>
      </c>
      <c r="E12" s="15" t="s">
        <v>39</v>
      </c>
      <c r="F12" s="7" t="s">
        <v>36</v>
      </c>
      <c r="G12" s="7" t="s">
        <v>38</v>
      </c>
      <c r="H12" s="20"/>
      <c r="I12" s="6">
        <v>46161</v>
      </c>
      <c r="J12" s="6"/>
      <c r="K12" s="6">
        <v>46162</v>
      </c>
      <c r="L12" s="12"/>
      <c r="M12" s="6"/>
    </row>
    <row r="13" spans="1:13" ht="24" x14ac:dyDescent="0.25">
      <c r="A13" s="9">
        <f t="shared" si="0"/>
        <v>11</v>
      </c>
      <c r="B13" s="5" t="s">
        <v>41</v>
      </c>
      <c r="C13" s="6">
        <v>46154</v>
      </c>
      <c r="D13" s="6" t="s">
        <v>6</v>
      </c>
      <c r="E13" s="15" t="s">
        <v>58</v>
      </c>
      <c r="F13" s="7" t="s">
        <v>43</v>
      </c>
      <c r="G13" s="7" t="s">
        <v>93</v>
      </c>
      <c r="H13" s="20">
        <v>431</v>
      </c>
      <c r="I13" s="6">
        <v>46155</v>
      </c>
      <c r="J13" s="6"/>
      <c r="K13" s="6"/>
      <c r="L13" s="12"/>
      <c r="M13" s="6" t="s">
        <v>29</v>
      </c>
    </row>
    <row r="14" spans="1:13" ht="60" x14ac:dyDescent="0.25">
      <c r="A14" s="9">
        <f t="shared" si="0"/>
        <v>12</v>
      </c>
      <c r="B14" s="5" t="s">
        <v>41</v>
      </c>
      <c r="C14" s="6">
        <v>46154</v>
      </c>
      <c r="D14" s="6" t="s">
        <v>15</v>
      </c>
      <c r="E14" s="15" t="s">
        <v>16</v>
      </c>
      <c r="F14" s="7" t="s">
        <v>44</v>
      </c>
      <c r="G14" s="7" t="s">
        <v>45</v>
      </c>
      <c r="H14" s="20"/>
      <c r="I14" s="6">
        <v>46157</v>
      </c>
      <c r="J14" s="6"/>
      <c r="K14" s="6"/>
      <c r="L14" s="12"/>
      <c r="M14" s="6" t="s">
        <v>29</v>
      </c>
    </row>
    <row r="15" spans="1:13" ht="24" x14ac:dyDescent="0.25">
      <c r="A15" s="9">
        <f t="shared" si="0"/>
        <v>13</v>
      </c>
      <c r="B15" s="5" t="s">
        <v>41</v>
      </c>
      <c r="C15" s="6">
        <v>46149</v>
      </c>
      <c r="D15" s="6" t="s">
        <v>46</v>
      </c>
      <c r="E15" s="15" t="s">
        <v>47</v>
      </c>
      <c r="F15" s="7" t="s">
        <v>48</v>
      </c>
      <c r="G15" s="7" t="s">
        <v>49</v>
      </c>
      <c r="H15" s="20"/>
      <c r="I15" s="6">
        <v>46161</v>
      </c>
      <c r="J15" s="6"/>
      <c r="K15" s="6">
        <v>46162</v>
      </c>
      <c r="L15" s="12"/>
      <c r="M15" s="6"/>
    </row>
    <row r="16" spans="1:13" ht="24" x14ac:dyDescent="0.25">
      <c r="A16" s="9">
        <f t="shared" si="0"/>
        <v>14</v>
      </c>
      <c r="B16" s="5" t="s">
        <v>41</v>
      </c>
      <c r="C16" s="6">
        <v>46161</v>
      </c>
      <c r="D16" s="6" t="s">
        <v>14</v>
      </c>
      <c r="E16" s="15" t="s">
        <v>18</v>
      </c>
      <c r="F16" s="7" t="s">
        <v>50</v>
      </c>
      <c r="G16" s="7" t="s">
        <v>51</v>
      </c>
      <c r="H16" s="20"/>
      <c r="I16" s="6">
        <v>46161</v>
      </c>
      <c r="J16" s="6"/>
      <c r="K16" s="6">
        <v>46163</v>
      </c>
      <c r="L16" s="12"/>
      <c r="M16" s="6"/>
    </row>
    <row r="17" spans="1:13" x14ac:dyDescent="0.25">
      <c r="A17" s="9">
        <f t="shared" si="0"/>
        <v>15</v>
      </c>
      <c r="B17" s="5" t="s">
        <v>41</v>
      </c>
      <c r="C17" s="6">
        <v>46161</v>
      </c>
      <c r="D17" s="6" t="s">
        <v>14</v>
      </c>
      <c r="E17" s="15" t="s">
        <v>18</v>
      </c>
      <c r="F17" s="7" t="s">
        <v>52</v>
      </c>
      <c r="G17" s="7" t="s">
        <v>53</v>
      </c>
      <c r="H17" s="20"/>
      <c r="I17" s="6">
        <v>46162</v>
      </c>
      <c r="J17" s="6"/>
      <c r="K17" s="6"/>
      <c r="L17" s="12"/>
      <c r="M17" s="6"/>
    </row>
    <row r="18" spans="1:13" ht="48" x14ac:dyDescent="0.25">
      <c r="A18" s="9">
        <f t="shared" si="0"/>
        <v>16</v>
      </c>
      <c r="B18" s="5" t="s">
        <v>41</v>
      </c>
      <c r="C18" s="6">
        <v>46161</v>
      </c>
      <c r="D18" s="6" t="s">
        <v>6</v>
      </c>
      <c r="E18" s="15" t="s">
        <v>58</v>
      </c>
      <c r="F18" s="7" t="s">
        <v>54</v>
      </c>
      <c r="G18" s="7" t="s">
        <v>42</v>
      </c>
      <c r="H18" s="20"/>
      <c r="I18" s="6">
        <v>46161</v>
      </c>
      <c r="J18" s="6"/>
      <c r="K18" s="6"/>
      <c r="L18" s="12"/>
      <c r="M18" s="6"/>
    </row>
    <row r="19" spans="1:13" ht="60" x14ac:dyDescent="0.25">
      <c r="A19" s="9">
        <f t="shared" si="0"/>
        <v>17</v>
      </c>
      <c r="B19" s="5" t="s">
        <v>40</v>
      </c>
      <c r="C19" s="6">
        <v>46161</v>
      </c>
      <c r="D19" s="6" t="s">
        <v>6</v>
      </c>
      <c r="E19" s="15" t="s">
        <v>58</v>
      </c>
      <c r="F19" s="7" t="s">
        <v>55</v>
      </c>
      <c r="G19" s="7" t="s">
        <v>27</v>
      </c>
      <c r="H19" s="20"/>
      <c r="I19" s="6">
        <v>46162</v>
      </c>
      <c r="J19" s="16" t="s">
        <v>73</v>
      </c>
      <c r="K19" s="6">
        <v>46162</v>
      </c>
      <c r="L19" s="12"/>
      <c r="M19" s="6"/>
    </row>
    <row r="20" spans="1:13" ht="24" x14ac:dyDescent="0.25">
      <c r="A20" s="9">
        <f t="shared" si="0"/>
        <v>18</v>
      </c>
      <c r="B20" s="5" t="s">
        <v>41</v>
      </c>
      <c r="C20" s="6">
        <v>46161</v>
      </c>
      <c r="D20" s="6" t="s">
        <v>6</v>
      </c>
      <c r="E20" s="15" t="s">
        <v>58</v>
      </c>
      <c r="F20" s="7" t="s">
        <v>56</v>
      </c>
      <c r="G20" s="7" t="s">
        <v>57</v>
      </c>
      <c r="H20" s="20"/>
      <c r="I20" s="6">
        <v>46169</v>
      </c>
      <c r="J20" s="6"/>
      <c r="K20" s="6"/>
      <c r="L20" s="12"/>
      <c r="M20" s="6"/>
    </row>
    <row r="21" spans="1:13" ht="24" x14ac:dyDescent="0.25">
      <c r="A21" s="9">
        <f t="shared" si="0"/>
        <v>19</v>
      </c>
      <c r="B21" s="5" t="s">
        <v>41</v>
      </c>
      <c r="C21" s="6">
        <v>46161</v>
      </c>
      <c r="D21" s="6" t="s">
        <v>6</v>
      </c>
      <c r="E21" s="15" t="s">
        <v>59</v>
      </c>
      <c r="F21" s="7" t="s">
        <v>60</v>
      </c>
      <c r="G21" s="7" t="s">
        <v>61</v>
      </c>
      <c r="H21" s="20"/>
      <c r="I21" s="6">
        <v>46161</v>
      </c>
      <c r="J21" s="6"/>
      <c r="K21" s="6">
        <v>46161</v>
      </c>
      <c r="L21" s="12"/>
      <c r="M21" s="6"/>
    </row>
    <row r="22" spans="1:13" ht="24" x14ac:dyDescent="0.25">
      <c r="A22" s="9">
        <f t="shared" si="0"/>
        <v>20</v>
      </c>
      <c r="B22" s="5" t="s">
        <v>40</v>
      </c>
      <c r="C22" s="6">
        <v>46161</v>
      </c>
      <c r="D22" s="6" t="s">
        <v>6</v>
      </c>
      <c r="E22" s="15" t="s">
        <v>63</v>
      </c>
      <c r="F22" s="7" t="s">
        <v>64</v>
      </c>
      <c r="G22" s="7" t="s">
        <v>62</v>
      </c>
      <c r="H22" s="20"/>
      <c r="I22" s="6">
        <v>46162</v>
      </c>
      <c r="J22" s="6"/>
      <c r="K22" s="6">
        <v>46162</v>
      </c>
      <c r="L22" s="12"/>
      <c r="M22" s="6"/>
    </row>
    <row r="23" spans="1:13" ht="24" x14ac:dyDescent="0.25">
      <c r="A23" s="9">
        <f t="shared" si="0"/>
        <v>21</v>
      </c>
      <c r="B23" s="5" t="s">
        <v>40</v>
      </c>
      <c r="C23" s="6">
        <v>46161</v>
      </c>
      <c r="D23" s="6" t="s">
        <v>14</v>
      </c>
      <c r="E23" s="15" t="s">
        <v>18</v>
      </c>
      <c r="F23" s="7" t="s">
        <v>65</v>
      </c>
      <c r="G23" s="7" t="s">
        <v>28</v>
      </c>
      <c r="H23" s="20"/>
      <c r="I23" s="6">
        <v>46162</v>
      </c>
      <c r="J23" s="6"/>
      <c r="K23" s="6">
        <v>46162</v>
      </c>
      <c r="L23" s="12"/>
      <c r="M23" s="6"/>
    </row>
    <row r="24" spans="1:13" ht="48" x14ac:dyDescent="0.25">
      <c r="A24" s="9">
        <f t="shared" si="0"/>
        <v>22</v>
      </c>
      <c r="B24" s="5" t="s">
        <v>40</v>
      </c>
      <c r="C24" s="6">
        <v>46161</v>
      </c>
      <c r="D24" s="6" t="s">
        <v>14</v>
      </c>
      <c r="E24" s="15" t="s">
        <v>67</v>
      </c>
      <c r="F24" s="7" t="s">
        <v>66</v>
      </c>
      <c r="G24" s="7" t="s">
        <v>117</v>
      </c>
      <c r="H24" s="31">
        <v>561</v>
      </c>
      <c r="I24" s="6">
        <v>46162</v>
      </c>
      <c r="J24" s="6"/>
      <c r="K24" s="6"/>
      <c r="L24" s="12"/>
      <c r="M24" s="6"/>
    </row>
    <row r="25" spans="1:13" ht="36" x14ac:dyDescent="0.25">
      <c r="A25" s="9">
        <f t="shared" si="0"/>
        <v>23</v>
      </c>
      <c r="B25" s="5" t="s">
        <v>40</v>
      </c>
      <c r="C25" s="6">
        <v>46161</v>
      </c>
      <c r="D25" s="6" t="s">
        <v>14</v>
      </c>
      <c r="E25" s="15" t="s">
        <v>69</v>
      </c>
      <c r="F25" s="7" t="s">
        <v>68</v>
      </c>
      <c r="G25" s="7" t="s">
        <v>62</v>
      </c>
      <c r="H25" s="20"/>
      <c r="I25" s="6">
        <v>46164</v>
      </c>
      <c r="J25" s="6"/>
      <c r="K25" s="6"/>
      <c r="L25" s="12"/>
      <c r="M25" s="6"/>
    </row>
    <row r="26" spans="1:13" ht="36" x14ac:dyDescent="0.25">
      <c r="A26" s="9">
        <f t="shared" si="0"/>
        <v>24</v>
      </c>
      <c r="B26" s="5" t="s">
        <v>41</v>
      </c>
      <c r="C26" s="6">
        <v>46161</v>
      </c>
      <c r="D26" s="6" t="s">
        <v>14</v>
      </c>
      <c r="E26" s="15" t="s">
        <v>58</v>
      </c>
      <c r="F26" s="7" t="s">
        <v>71</v>
      </c>
      <c r="G26" s="7" t="s">
        <v>70</v>
      </c>
      <c r="H26" s="20"/>
      <c r="I26" s="6">
        <v>46163</v>
      </c>
      <c r="J26" s="6"/>
      <c r="K26" s="6"/>
      <c r="L26" s="12"/>
      <c r="M26" s="6"/>
    </row>
    <row r="27" spans="1:13" ht="48" x14ac:dyDescent="0.25">
      <c r="A27" s="9">
        <f t="shared" si="0"/>
        <v>25</v>
      </c>
      <c r="B27" s="5" t="s">
        <v>40</v>
      </c>
      <c r="C27" s="6">
        <v>46161</v>
      </c>
      <c r="D27" s="6" t="s">
        <v>14</v>
      </c>
      <c r="E27" s="15" t="s">
        <v>47</v>
      </c>
      <c r="F27" s="7" t="s">
        <v>72</v>
      </c>
      <c r="G27" s="22" t="s">
        <v>79</v>
      </c>
      <c r="H27" s="23">
        <v>650</v>
      </c>
      <c r="I27" s="6">
        <v>46162</v>
      </c>
      <c r="J27" s="6"/>
      <c r="K27" s="6"/>
      <c r="L27" s="12"/>
      <c r="M27" s="6"/>
    </row>
    <row r="28" spans="1:13" ht="36" x14ac:dyDescent="0.25">
      <c r="A28" s="9">
        <f t="shared" si="0"/>
        <v>26</v>
      </c>
      <c r="B28" s="5" t="s">
        <v>40</v>
      </c>
      <c r="C28" s="6">
        <v>46161</v>
      </c>
      <c r="D28" s="6" t="s">
        <v>15</v>
      </c>
      <c r="E28" s="15" t="s">
        <v>47</v>
      </c>
      <c r="F28" s="7" t="s">
        <v>77</v>
      </c>
      <c r="G28" s="22" t="s">
        <v>81</v>
      </c>
      <c r="H28" s="23">
        <v>9</v>
      </c>
      <c r="I28" s="6">
        <v>46162</v>
      </c>
      <c r="J28" s="6"/>
      <c r="K28" s="6"/>
      <c r="L28" s="12"/>
      <c r="M28" s="6"/>
    </row>
    <row r="29" spans="1:13" ht="48" x14ac:dyDescent="0.25">
      <c r="A29" s="9">
        <f t="shared" si="0"/>
        <v>27</v>
      </c>
      <c r="B29" s="5" t="s">
        <v>40</v>
      </c>
      <c r="C29" s="6">
        <v>46161</v>
      </c>
      <c r="D29" s="6" t="s">
        <v>15</v>
      </c>
      <c r="E29" s="15" t="s">
        <v>47</v>
      </c>
      <c r="F29" s="7" t="s">
        <v>78</v>
      </c>
      <c r="G29" s="22" t="s">
        <v>82</v>
      </c>
      <c r="H29" s="23">
        <v>59</v>
      </c>
      <c r="I29" s="6">
        <v>46162</v>
      </c>
      <c r="J29" s="6"/>
      <c r="K29" s="6"/>
      <c r="L29" s="12"/>
      <c r="M29" s="6"/>
    </row>
    <row r="30" spans="1:13" ht="24" x14ac:dyDescent="0.25">
      <c r="A30" s="9">
        <f t="shared" ref="A30:A54" si="1">IF(B30="","",1+A29)</f>
        <v>28</v>
      </c>
      <c r="B30" s="5" t="s">
        <v>40</v>
      </c>
      <c r="C30" s="6">
        <v>46162</v>
      </c>
      <c r="D30" s="6" t="s">
        <v>15</v>
      </c>
      <c r="E30" s="15" t="s">
        <v>18</v>
      </c>
      <c r="F30" s="7" t="s">
        <v>74</v>
      </c>
      <c r="G30" s="22"/>
      <c r="H30" s="23"/>
      <c r="I30" s="6">
        <v>46162</v>
      </c>
      <c r="J30" s="6" t="s">
        <v>83</v>
      </c>
      <c r="K30" s="6">
        <v>46162</v>
      </c>
      <c r="L30" s="12"/>
      <c r="M30" s="6"/>
    </row>
    <row r="31" spans="1:13" ht="24" x14ac:dyDescent="0.25">
      <c r="A31" s="9">
        <f t="shared" si="1"/>
        <v>29</v>
      </c>
      <c r="B31" s="5" t="s">
        <v>40</v>
      </c>
      <c r="C31" s="6">
        <f>C30</f>
        <v>46162</v>
      </c>
      <c r="D31" s="6" t="s">
        <v>14</v>
      </c>
      <c r="E31" s="15" t="s">
        <v>92</v>
      </c>
      <c r="F31" s="7" t="s">
        <v>75</v>
      </c>
      <c r="G31" s="7"/>
      <c r="H31" s="20"/>
      <c r="I31" s="6">
        <v>46167</v>
      </c>
      <c r="J31" s="16"/>
      <c r="K31" s="6"/>
      <c r="L31" s="12"/>
      <c r="M31" s="6"/>
    </row>
    <row r="32" spans="1:13" ht="36" x14ac:dyDescent="0.25">
      <c r="A32" s="9">
        <f t="shared" si="1"/>
        <v>30</v>
      </c>
      <c r="B32" s="5" t="s">
        <v>40</v>
      </c>
      <c r="C32" s="6">
        <v>46162</v>
      </c>
      <c r="D32" s="6" t="s">
        <v>6</v>
      </c>
      <c r="E32" s="15" t="s">
        <v>58</v>
      </c>
      <c r="F32" s="7" t="s">
        <v>76</v>
      </c>
      <c r="G32" s="7" t="s">
        <v>84</v>
      </c>
      <c r="H32" s="20"/>
      <c r="I32" s="6">
        <v>46162</v>
      </c>
      <c r="J32" s="16" t="s">
        <v>120</v>
      </c>
      <c r="K32" s="6">
        <v>46167</v>
      </c>
      <c r="L32" s="12"/>
      <c r="M32" s="6"/>
    </row>
    <row r="33" spans="1:13" ht="24" x14ac:dyDescent="0.25">
      <c r="A33" s="9">
        <f t="shared" si="1"/>
        <v>31</v>
      </c>
      <c r="B33" s="5" t="s">
        <v>40</v>
      </c>
      <c r="C33" s="6">
        <v>46163</v>
      </c>
      <c r="D33" s="6" t="s">
        <v>14</v>
      </c>
      <c r="E33" s="15" t="s">
        <v>85</v>
      </c>
      <c r="F33" s="7" t="s">
        <v>86</v>
      </c>
      <c r="G33" s="7" t="s">
        <v>87</v>
      </c>
      <c r="H33" s="20">
        <v>169</v>
      </c>
      <c r="I33" s="6">
        <v>46163</v>
      </c>
      <c r="J33" s="16"/>
      <c r="K33" s="6"/>
      <c r="L33" s="12"/>
      <c r="M33" s="6"/>
    </row>
    <row r="34" spans="1:13" ht="36" x14ac:dyDescent="0.25">
      <c r="A34" s="9">
        <f t="shared" si="1"/>
        <v>32</v>
      </c>
      <c r="B34" s="5" t="s">
        <v>40</v>
      </c>
      <c r="C34" s="6">
        <v>46163</v>
      </c>
      <c r="D34" s="6" t="s">
        <v>14</v>
      </c>
      <c r="E34" s="15" t="s">
        <v>18</v>
      </c>
      <c r="F34" s="7" t="s">
        <v>88</v>
      </c>
      <c r="G34" s="7" t="s">
        <v>89</v>
      </c>
      <c r="H34" s="20">
        <v>279</v>
      </c>
      <c r="I34" s="6">
        <v>46163</v>
      </c>
      <c r="J34" s="16" t="s">
        <v>121</v>
      </c>
      <c r="K34" s="6">
        <v>46167</v>
      </c>
      <c r="L34" s="12"/>
      <c r="M34" s="6"/>
    </row>
    <row r="35" spans="1:13" ht="48" x14ac:dyDescent="0.25">
      <c r="A35" s="9">
        <f>IF(B35="","",1+A34)</f>
        <v>33</v>
      </c>
      <c r="B35" s="5" t="s">
        <v>40</v>
      </c>
      <c r="C35" s="6">
        <v>46163</v>
      </c>
      <c r="D35" s="6" t="s">
        <v>14</v>
      </c>
      <c r="E35" s="15" t="s">
        <v>18</v>
      </c>
      <c r="F35" s="7" t="s">
        <v>90</v>
      </c>
      <c r="G35" s="7" t="s">
        <v>91</v>
      </c>
      <c r="H35" s="20">
        <v>22</v>
      </c>
      <c r="I35" s="6">
        <v>46163</v>
      </c>
      <c r="J35" s="16" t="s">
        <v>102</v>
      </c>
      <c r="K35" s="6">
        <v>46164</v>
      </c>
      <c r="L35" s="12"/>
      <c r="M35" s="6"/>
    </row>
    <row r="36" spans="1:13" ht="36" x14ac:dyDescent="0.25">
      <c r="A36" s="9">
        <f t="shared" si="1"/>
        <v>34</v>
      </c>
      <c r="B36" s="5" t="s">
        <v>40</v>
      </c>
      <c r="C36" s="6">
        <v>46163</v>
      </c>
      <c r="D36" s="6" t="s">
        <v>14</v>
      </c>
      <c r="E36" s="15" t="s">
        <v>96</v>
      </c>
      <c r="F36" s="7" t="s">
        <v>94</v>
      </c>
      <c r="G36" s="7" t="s">
        <v>95</v>
      </c>
      <c r="H36" s="20">
        <v>284</v>
      </c>
      <c r="I36" s="6">
        <v>46181</v>
      </c>
      <c r="J36" s="16"/>
      <c r="K36" s="6"/>
      <c r="L36" s="12"/>
      <c r="M36" s="6"/>
    </row>
    <row r="37" spans="1:13" ht="48" x14ac:dyDescent="0.25">
      <c r="A37" s="9">
        <f t="shared" si="1"/>
        <v>35</v>
      </c>
      <c r="B37" s="5" t="s">
        <v>40</v>
      </c>
      <c r="C37" s="6">
        <v>46163</v>
      </c>
      <c r="D37" s="6" t="s">
        <v>14</v>
      </c>
      <c r="E37" s="15" t="s">
        <v>18</v>
      </c>
      <c r="F37" s="7" t="s">
        <v>97</v>
      </c>
      <c r="G37" s="7" t="s">
        <v>98</v>
      </c>
      <c r="H37" s="20">
        <v>276</v>
      </c>
      <c r="I37" s="6">
        <v>46163</v>
      </c>
      <c r="J37" s="16"/>
      <c r="K37" s="6"/>
      <c r="L37" s="12"/>
      <c r="M37" s="6"/>
    </row>
    <row r="38" spans="1:13" x14ac:dyDescent="0.25">
      <c r="A38" s="9">
        <f t="shared" si="1"/>
        <v>36</v>
      </c>
      <c r="B38" s="5" t="s">
        <v>40</v>
      </c>
      <c r="C38" s="6">
        <v>46163</v>
      </c>
      <c r="D38" s="6" t="s">
        <v>14</v>
      </c>
      <c r="E38" s="15" t="s">
        <v>47</v>
      </c>
      <c r="F38" s="7" t="s">
        <v>100</v>
      </c>
      <c r="G38" s="7"/>
      <c r="H38" s="20"/>
      <c r="I38" s="6">
        <v>46171</v>
      </c>
      <c r="J38" s="16"/>
      <c r="K38" s="6"/>
      <c r="L38" s="12"/>
      <c r="M38" s="6"/>
    </row>
    <row r="39" spans="1:13" ht="60" x14ac:dyDescent="0.25">
      <c r="A39" s="9">
        <f t="shared" si="1"/>
        <v>37</v>
      </c>
      <c r="B39" s="5" t="s">
        <v>40</v>
      </c>
      <c r="C39" s="6">
        <v>46163</v>
      </c>
      <c r="D39" s="6" t="s">
        <v>15</v>
      </c>
      <c r="E39" s="15" t="s">
        <v>18</v>
      </c>
      <c r="F39" s="7" t="s">
        <v>99</v>
      </c>
      <c r="G39" s="7" t="s">
        <v>101</v>
      </c>
      <c r="H39" s="20"/>
      <c r="I39" s="6">
        <v>46164</v>
      </c>
      <c r="J39" s="6"/>
      <c r="K39" s="6"/>
      <c r="L39" s="12"/>
      <c r="M39" s="6"/>
    </row>
    <row r="40" spans="1:13" s="29" customFormat="1" ht="96" x14ac:dyDescent="0.25">
      <c r="A40" s="24">
        <f t="shared" si="1"/>
        <v>38</v>
      </c>
      <c r="B40" s="25" t="s">
        <v>41</v>
      </c>
      <c r="C40" s="26">
        <v>46164</v>
      </c>
      <c r="D40" s="26" t="s">
        <v>14</v>
      </c>
      <c r="E40" s="27" t="s">
        <v>18</v>
      </c>
      <c r="F40" s="22" t="s">
        <v>110</v>
      </c>
      <c r="G40" s="22" t="s">
        <v>107</v>
      </c>
      <c r="H40" s="23" t="s">
        <v>104</v>
      </c>
      <c r="I40" s="26">
        <v>46167</v>
      </c>
      <c r="J40" s="30" t="s">
        <v>119</v>
      </c>
      <c r="K40" s="26"/>
      <c r="L40" s="28"/>
      <c r="M40" s="26"/>
    </row>
    <row r="41" spans="1:13" s="29" customFormat="1" ht="96" x14ac:dyDescent="0.25">
      <c r="A41" s="24">
        <f t="shared" si="1"/>
        <v>39</v>
      </c>
      <c r="B41" s="25" t="s">
        <v>41</v>
      </c>
      <c r="C41" s="26">
        <v>46164</v>
      </c>
      <c r="D41" s="26" t="s">
        <v>14</v>
      </c>
      <c r="E41" s="27" t="s">
        <v>32</v>
      </c>
      <c r="F41" s="22" t="s">
        <v>108</v>
      </c>
      <c r="G41" s="22" t="s">
        <v>105</v>
      </c>
      <c r="H41" s="23">
        <v>262</v>
      </c>
      <c r="I41" s="26">
        <v>46167</v>
      </c>
      <c r="J41" s="26"/>
      <c r="K41" s="26"/>
      <c r="L41" s="28"/>
      <c r="M41" s="26"/>
    </row>
    <row r="42" spans="1:13" s="29" customFormat="1" ht="72" x14ac:dyDescent="0.25">
      <c r="A42" s="24">
        <f t="shared" si="1"/>
        <v>40</v>
      </c>
      <c r="B42" s="25" t="s">
        <v>40</v>
      </c>
      <c r="C42" s="26">
        <v>46167</v>
      </c>
      <c r="D42" s="26" t="s">
        <v>15</v>
      </c>
      <c r="E42" s="27" t="s">
        <v>106</v>
      </c>
      <c r="F42" s="22" t="s">
        <v>111</v>
      </c>
      <c r="G42" s="22" t="s">
        <v>109</v>
      </c>
      <c r="H42" s="23">
        <v>276</v>
      </c>
      <c r="I42" s="26">
        <v>46170</v>
      </c>
      <c r="J42" s="26"/>
      <c r="K42" s="26"/>
      <c r="L42" s="28"/>
      <c r="M42" s="26"/>
    </row>
    <row r="43" spans="1:13" s="29" customFormat="1" ht="36" x14ac:dyDescent="0.25">
      <c r="A43" s="24">
        <f t="shared" si="1"/>
        <v>41</v>
      </c>
      <c r="B43" s="25" t="s">
        <v>41</v>
      </c>
      <c r="C43" s="26">
        <v>46167</v>
      </c>
      <c r="D43" s="26" t="s">
        <v>15</v>
      </c>
      <c r="E43" s="27" t="s">
        <v>112</v>
      </c>
      <c r="F43" s="22" t="s">
        <v>113</v>
      </c>
      <c r="G43" s="22" t="s">
        <v>114</v>
      </c>
      <c r="H43" s="23"/>
      <c r="I43" s="26">
        <v>46167</v>
      </c>
      <c r="J43" s="30" t="s">
        <v>115</v>
      </c>
      <c r="K43" s="26">
        <v>46167</v>
      </c>
      <c r="L43" s="28"/>
      <c r="M43" s="26"/>
    </row>
    <row r="44" spans="1:13" ht="60" x14ac:dyDescent="0.25">
      <c r="A44" s="9">
        <f t="shared" si="1"/>
        <v>42</v>
      </c>
      <c r="B44" s="5" t="s">
        <v>40</v>
      </c>
      <c r="C44" s="6">
        <v>46168</v>
      </c>
      <c r="D44" s="6" t="s">
        <v>14</v>
      </c>
      <c r="E44" s="15" t="s">
        <v>85</v>
      </c>
      <c r="F44" s="7" t="s">
        <v>116</v>
      </c>
      <c r="G44" s="7" t="s">
        <v>118</v>
      </c>
      <c r="H44" s="31">
        <v>561</v>
      </c>
      <c r="I44" s="6">
        <v>45834</v>
      </c>
      <c r="J44" s="6"/>
      <c r="K44" s="6"/>
      <c r="L44" s="12"/>
      <c r="M44" s="6"/>
    </row>
    <row r="45" spans="1:13" ht="60" x14ac:dyDescent="0.25">
      <c r="A45" s="9">
        <f t="shared" si="1"/>
        <v>43</v>
      </c>
      <c r="B45" s="5" t="s">
        <v>40</v>
      </c>
      <c r="C45" s="6">
        <v>46168</v>
      </c>
      <c r="D45" s="6" t="s">
        <v>14</v>
      </c>
      <c r="E45" s="15" t="s">
        <v>47</v>
      </c>
      <c r="F45" s="7" t="s">
        <v>123</v>
      </c>
      <c r="G45" s="7" t="s">
        <v>122</v>
      </c>
      <c r="H45" s="31">
        <v>261</v>
      </c>
      <c r="I45" s="6">
        <v>46169</v>
      </c>
      <c r="J45" s="6"/>
      <c r="K45" s="6"/>
      <c r="L45" s="12"/>
      <c r="M45" s="6"/>
    </row>
    <row r="46" spans="1:13" ht="96" x14ac:dyDescent="0.25">
      <c r="A46" s="9">
        <f t="shared" si="1"/>
        <v>44</v>
      </c>
      <c r="B46" s="32" t="s">
        <v>41</v>
      </c>
      <c r="C46" s="33">
        <v>46169</v>
      </c>
      <c r="D46" s="33" t="s">
        <v>14</v>
      </c>
      <c r="E46" s="34" t="s">
        <v>32</v>
      </c>
      <c r="F46" s="35" t="s">
        <v>128</v>
      </c>
      <c r="G46" s="35" t="s">
        <v>130</v>
      </c>
      <c r="H46" s="31" t="s">
        <v>129</v>
      </c>
      <c r="I46" s="6">
        <v>46169</v>
      </c>
      <c r="J46" s="6"/>
      <c r="K46" s="6"/>
      <c r="L46" s="12"/>
      <c r="M46" s="6"/>
    </row>
    <row r="47" spans="1:13" ht="48" x14ac:dyDescent="0.25">
      <c r="A47" s="9">
        <f t="shared" si="1"/>
        <v>45</v>
      </c>
      <c r="B47" s="32" t="s">
        <v>40</v>
      </c>
      <c r="C47" s="33">
        <v>46169</v>
      </c>
      <c r="D47" s="33" t="s">
        <v>14</v>
      </c>
      <c r="E47" s="34" t="s">
        <v>47</v>
      </c>
      <c r="F47" s="35" t="s">
        <v>124</v>
      </c>
      <c r="G47" s="35" t="s">
        <v>125</v>
      </c>
      <c r="H47" s="31">
        <v>254</v>
      </c>
      <c r="I47" s="6">
        <v>46171</v>
      </c>
      <c r="J47" s="6"/>
      <c r="K47" s="6"/>
      <c r="L47" s="12"/>
      <c r="M47" s="6"/>
    </row>
    <row r="48" spans="1:13" ht="60" x14ac:dyDescent="0.25">
      <c r="A48" s="9">
        <f t="shared" si="1"/>
        <v>46</v>
      </c>
      <c r="B48" s="32" t="s">
        <v>41</v>
      </c>
      <c r="C48" s="33">
        <v>46169</v>
      </c>
      <c r="D48" s="33" t="s">
        <v>6</v>
      </c>
      <c r="E48" s="34" t="s">
        <v>58</v>
      </c>
      <c r="F48" s="35" t="s">
        <v>126</v>
      </c>
      <c r="G48" s="35" t="s">
        <v>127</v>
      </c>
      <c r="H48" s="31">
        <v>251</v>
      </c>
      <c r="I48" s="6">
        <v>46169</v>
      </c>
      <c r="J48" s="6"/>
      <c r="K48" s="6"/>
      <c r="L48" s="12"/>
      <c r="M48" s="6"/>
    </row>
    <row r="49" spans="1:13" x14ac:dyDescent="0.25">
      <c r="A49" s="9" t="str">
        <f t="shared" si="1"/>
        <v/>
      </c>
      <c r="B49" s="5"/>
      <c r="C49" s="6"/>
      <c r="D49" s="6"/>
      <c r="E49" s="15"/>
      <c r="F49" s="7"/>
      <c r="G49" s="7"/>
      <c r="H49" s="20"/>
      <c r="I49" s="6"/>
      <c r="J49" s="6"/>
      <c r="K49" s="6"/>
      <c r="L49" s="12"/>
      <c r="M49" s="6"/>
    </row>
    <row r="50" spans="1:13" x14ac:dyDescent="0.25">
      <c r="A50" s="9" t="str">
        <f t="shared" si="1"/>
        <v/>
      </c>
      <c r="B50" s="5"/>
      <c r="C50" s="6"/>
      <c r="D50" s="6"/>
      <c r="E50" s="15"/>
      <c r="F50" s="7"/>
      <c r="G50" s="7"/>
      <c r="H50" s="20"/>
      <c r="I50" s="6"/>
      <c r="J50" s="6"/>
      <c r="K50" s="6"/>
      <c r="L50" s="12"/>
      <c r="M50" s="6"/>
    </row>
    <row r="51" spans="1:13" x14ac:dyDescent="0.25">
      <c r="A51" s="9" t="str">
        <f t="shared" si="1"/>
        <v/>
      </c>
      <c r="B51" s="5"/>
      <c r="C51" s="6"/>
      <c r="D51" s="6"/>
      <c r="E51" s="15"/>
      <c r="F51" s="7"/>
      <c r="G51" s="7"/>
      <c r="H51" s="20"/>
      <c r="I51" s="6"/>
      <c r="J51" s="6"/>
      <c r="K51" s="6"/>
      <c r="L51" s="12"/>
      <c r="M51" s="6"/>
    </row>
    <row r="52" spans="1:13" x14ac:dyDescent="0.25">
      <c r="A52" s="9" t="str">
        <f t="shared" si="1"/>
        <v/>
      </c>
      <c r="B52" s="5"/>
      <c r="C52" s="6"/>
      <c r="D52" s="6"/>
      <c r="E52" s="15"/>
      <c r="F52" s="7"/>
      <c r="G52" s="7"/>
      <c r="H52" s="20"/>
      <c r="I52" s="6"/>
      <c r="J52" s="6"/>
      <c r="K52" s="6"/>
      <c r="L52" s="12"/>
      <c r="M52" s="6"/>
    </row>
    <row r="53" spans="1:13" x14ac:dyDescent="0.25">
      <c r="A53" s="9" t="str">
        <f t="shared" si="1"/>
        <v/>
      </c>
      <c r="B53" s="5"/>
      <c r="C53" s="6"/>
      <c r="D53" s="6"/>
      <c r="E53" s="15"/>
      <c r="F53" s="7"/>
      <c r="G53" s="7"/>
      <c r="H53" s="20"/>
      <c r="I53" s="6"/>
      <c r="J53" s="6"/>
      <c r="K53" s="6"/>
      <c r="L53" s="12"/>
      <c r="M53" s="6"/>
    </row>
    <row r="54" spans="1:13" x14ac:dyDescent="0.25">
      <c r="A54" s="9" t="str">
        <f t="shared" si="1"/>
        <v/>
      </c>
      <c r="B54" s="5"/>
      <c r="C54" s="6"/>
      <c r="D54" s="6"/>
      <c r="E54" s="15"/>
      <c r="F54" s="7"/>
      <c r="G54" s="7"/>
      <c r="H54" s="20"/>
      <c r="I54" s="6"/>
      <c r="J54" s="6"/>
      <c r="K54" s="6"/>
      <c r="L54" s="12"/>
      <c r="M54" s="6"/>
    </row>
  </sheetData>
  <autoFilter ref="A2:L54" xr:uid="{29EA573F-182A-4B30-9FC8-054F5DE8B6F9}"/>
  <conditionalFormatting sqref="M1:M1048576">
    <cfRule type="cellIs" dxfId="2" priority="1" operator="equal">
      <formula>"ATENÇÃO"</formula>
    </cfRule>
    <cfRule type="cellIs" dxfId="1" priority="2" operator="equal">
      <formula>"ATRASADO"</formula>
    </cfRule>
    <cfRule type="cellIs" dxfId="0" priority="3" operator="equal">
      <formula>"CONCLUÍDO"</formula>
    </cfRule>
  </conditionalFormatting>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Ilson dos Santos Azevedo</dc:creator>
  <cp:lastModifiedBy>Ilson dos Santos Azevedo</cp:lastModifiedBy>
  <dcterms:created xsi:type="dcterms:W3CDTF">2026-05-19T12:30:36Z</dcterms:created>
  <dcterms:modified xsi:type="dcterms:W3CDTF">2026-05-27T11:59:39Z</dcterms:modified>
</cp:coreProperties>
</file>